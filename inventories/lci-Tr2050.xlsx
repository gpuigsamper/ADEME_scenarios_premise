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1044" documentId="13_ncr:1_{D0F9393E-493D-4D41-96B2-57E4008F0D51}" xr6:coauthVersionLast="47" xr6:coauthVersionMax="47" xr10:uidLastSave="{B354B266-886E-4B26-9EA0-C26E74A3C1B9}"/>
  <bookViews>
    <workbookView xWindow="-105" yWindow="-16320" windowWidth="29040" windowHeight="1572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<sst xmlns="http://schemas.openxmlformats.org/spreadsheetml/2006/main" count="6030" uniqueCount="760">
  <si>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</si>
  <si>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</si>
  <si>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</si>
  <si>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</si>
  <si>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</si>
  <si>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</si>
  <si>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</si>
  <si>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</si>
  <si>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</si>
  <si>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</si>
  <si>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</si>
  <si>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</si>
  <si>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</si>
  <si>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</si>
  <si>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</si>
  <si>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</si>
  <si>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</si>
  <si>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</si>
  <si>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</si>
  <si>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</si>
  <si>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</si>
  <si>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</si>
  <si>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</si>
  <si>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</si>
  <si>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</si>
  <si>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</si>
  <si>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</si>
  <si>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</si>
  <si>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</si>
  <si>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</si>
  <si>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</si>
  <si>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</si>
  <si>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</si>
  <si>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</si>
  <si>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</si>
  <si>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</si>
  <si>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</si>
  <si>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</si>
  <si>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</si>
  <si>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</si>
  <si>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</si>
  <si>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</si>
  <si>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</si>
  <si>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</si>
  <si>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</si>
  <si>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</si>
  <si>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</si>
  <si>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</si>
  <si>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</si>
  <si>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</si>
  <si>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</si>
  <si>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</si>
  <si>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</si>
  <si>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</si>
  <si>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</si>
  <si>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</si>
  <si>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</si>
  <si>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</si>
  <si>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</si>
  <si>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</si>
  <si>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</si>
  <si>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</si>
  <si>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</si>
  <si>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</si>
  <si>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</si>
  <si>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</si>
  <si>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</si>
  <si>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</si>
  <si>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</si>
  <si>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</si>
  <si>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</si>
  <si>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</si>
  <si>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</si>
  <si>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</si>
  <si>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</si>
  <si>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</si>
  <si>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</si>
  <si>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</si>
  <si>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</si>
  <si>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</si>
  <si>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</si>
  <si>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</si>
  <si>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</si>
  <si>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</si>
  <si>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</si>
  <si>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</si>
  <si>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</si>
  <si>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</si>
  <si>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</si>
  <si>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</si>
  <si>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</si>
  <si>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</si>
  <si>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</si>
  <si>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</si>
  <si>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</si>
  <si>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</si>
  <si>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</si>
  <si>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</si>
  <si>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</si>
  <si>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</si>
  <si>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</si>
  <si>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</si>
  <si>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</si>
  <si>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</si>
  <si>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</si>
  <si>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</si>
  <si>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</si>
  <si>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</si>
  <si>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</si>
  <si>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</si>
  <si>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</si>
  <si>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</si>
  <si>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</si>
  <si>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</si>
  <si>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</si>
  <si>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</si>
  <si>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</si>
  <si>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</si>
  <si>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</si>
  <si>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</si>
  <si>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</si>
  <si>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</si>
  <si>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</si>
  <si>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</si>
  <si>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</si>
  <si>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</si>
  <si>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</si>
  <si>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</si>
  <si>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</si>
  <si>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</si>
  <si>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</si>
  <si>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</si>
  <si>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</si>
  <si>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</si>
  <si>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</si>
  <si>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</si>
  <si>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</si>
  <si>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</si>
  <si>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</si>
  <si>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</si>
  <si>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</si>
  <si>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</si>
  <si>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</si>
  <si>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</si>
  <si>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</si>
  <si>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</si>
  <si>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</si>
  <si>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</si>
  <si>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</si>
  <si>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</si>
  <si>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</si>
  <si>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</si>
  <si>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</si>
  <si>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</si>
  <si>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</si>
  <si>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</si>
  <si>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</si>
  <si>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</si>
  <si>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</si>
  <si>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</si>
  <si>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</si>
  <si>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</si>
  <si>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</si>
  <si>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</si>
  <si>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</si>
  <si>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</si>
  <si>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</si>
  <si>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</si>
  <si>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</si>
  <si>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</si>
  <si>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</si>
  <si>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</si>
  <si>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</si>
  <si>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</si>
  <si>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</si>
  <si>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</si>
  <si>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</si>
  <si>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</si>
  <si>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</si>
  <si>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</si>
  <si>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</si>
  <si>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</si>
  <si>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</si>
  <si>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</si>
  <si>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</si>
  <si>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</si>
  <si>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</si>
  <si>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</si>
  <si>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</si>
  <si>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</si>
  <si>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</si>
  <si>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</si>
  <si>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</si>
  <si>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</si>
  <si>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</si>
  <si>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</si>
  <si>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</si>
  <si>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</si>
  <si>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</si>
  <si>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</si>
  <si>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</si>
  <si>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</si>
  <si>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</si>
  <si>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</si>
  <si>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</si>
  <si>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</si>
  <si>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</si>
  <si>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</si>
  <si>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</si>
  <si>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</si>
  <si>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</si>
  <si>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</si>
  <si>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</si>
  <si>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</si>
  <si>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</si>
  <si>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</si>
  <si>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</si>
  <si>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</si>
  <si>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</si>
  <si>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</si>
  <si>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</si>
  <si>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</si>
  <si>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</si>
  <si>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</si>
  <si>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</si>
  <si>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</si>
  <si>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</si>
  <si>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</si>
  <si>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</si>
  <si>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</si>
  <si>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</si>
  <si>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</si>
  <si>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</si>
  <si>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</si>
  <si>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</si>
  <si>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</si>
  <si>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</si>
  <si>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</si>
  <si>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</si>
  <si>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</si>
  <si>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</si>
  <si>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</si>
  <si>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</si>
  <si>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</si>
  <si>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</si>
  <si>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</si>
  <si>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</si>
  <si>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</si>
  <si>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</si>
  <si>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</si>
  <si>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</si>
  <si>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</si>
  <si>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</si>
  <si>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</si>
  <si>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</si>
  <si>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</si>
  <si>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</si>
  <si>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</si>
  <si>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</si>
  <si>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</si>
  <si>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</si>
  <si>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</si>
  <si>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</si>
  <si>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</si>
  <si>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</si>
  <si>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</si>
  <si>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</si>
  <si>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</si>
  <si>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</si>
  <si>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</si>
  <si>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</si>
  <si>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</si>
  <si>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</si>
  <si>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</si>
  <si>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</si>
  <si>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</si>
  <si>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</si>
  <si>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</si>
  <si>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</si>
  <si>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</si>
  <si>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</si>
  <si>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</si>
  <si>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</si>
  <si>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</si>
  <si>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</si>
  <si>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</si>
  <si>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</si>
  <si>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</si>
  <si>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</si>
  <si>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</si>
  <si>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</si>
  <si>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</si>
  <si>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</si>
  <si>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</si>
  <si>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</si>
  <si>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</si>
  <si>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</si>
  <si>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</si>
  <si>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</si>
  <si>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</si>
  <si>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</si>
  <si>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</si>
  <si>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</si>
  <si>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</si>
  <si>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</si>
  <si>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</si>
  <si>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</si>
  <si>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</si>
  <si>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</si>
  <si>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</si>
  <si>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</si>
  <si>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</si>
  <si>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</si>
  <si>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</si>
  <si>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</si>
  <si>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</si>
  <si>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</si>
  <si>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</si>
  <si>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</si>
  <si>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</si>
  <si>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</si>
  <si>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</si>
  <si>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</si>
  <si>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</si>
  <si>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</si>
  <si>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</si>
  <si>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</si>
  <si>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</si>
  <si>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</si>
  <si>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</si>
  <si>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</si>
  <si>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</si>
  <si>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</si>
  <si>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</si>
  <si>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</si>
  <si>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</si>
  <si>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</si>
  <si>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</si>
  <si>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</si>
  <si>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</si>
  <si>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</si>
  <si>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</si>
  <si>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</si>
  <si>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</si>
  <si>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</si>
  <si>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</si>
  <si>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</si>
  <si>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</si>
  <si>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</si>
  <si>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</si>
  <si>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</si>
  <si>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</si>
  <si>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</si>
  <si>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</si>
  <si>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</si>
  <si>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</si>
  <si>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</si>
  <si>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</si>
  <si>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</si>
  <si>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</si>
  <si>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</si>
  <si>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</si>
  <si>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</si>
  <si>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</si>
  <si>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</si>
  <si>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</si>
  <si>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</si>
  <si>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</si>
  <si>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</si>
  <si>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</si>
  <si>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</si>
  <si>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</si>
  <si>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</si>
  <si>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</si>
  <si>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</si>
  <si>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</si>
  <si>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</si>
  <si>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</si>
  <si>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</si>
  <si>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</si>
  <si>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</si>
  <si>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</si>
  <si>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</si>
  <si>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</si>
  <si>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</si>
  <si>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</si>
  <si>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</si>
  <si>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</si>
  <si>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</si>
  <si>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</si>
  <si>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</si>
  <si>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</si>
  <si>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</si>
  <si>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</si>
  <si>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</si>
  <si>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</si>
  <si>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</si>
  <si>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</si>
  <si>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</si>
  <si>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</si>
  <si>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</si>
  <si>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</si>
  <si>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</si>
  <si>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</si>
  <si>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</si>
  <si>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</si>
  <si>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</si>
  <si>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</si>
  <si>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</si>
  <si>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</si>
  <si>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</si>
  <si>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</si>
  <si>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</si>
  <si>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</si>
  <si>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</si>
  <si>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</si>
  <si>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</si>
  <si>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</si>
  <si>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</si>
  <si>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</si>
  <si>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</si>
  <si>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</si>
  <si>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</si>
  <si>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</si>
  <si>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</si>
  <si>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</si>
  <si>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</si>
  <si>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</si>
  <si>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</si>
  <si>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</si>
  <si>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</si>
  <si>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</si>
  <si>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</si>
  <si>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</si>
  <si>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</si>
  <si>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</si>
  <si>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</si>
  <si>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</si>
  <si>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</si>
  <si>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</si>
  <si>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</si>
  <si>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</si>
  <si>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</si>
  <si>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</si>
  <si>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</si>
  <si>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</si>
  <si>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</si>
  <si>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</si>
  <si>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</si>
  <si>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</si>
  <si>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</si>
  <si>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</si>
  <si>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</si>
  <si>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</si>
  <si>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</si>
  <si>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</si>
  <si>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</si>
  <si>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</si>
  <si>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</si>
  <si>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</si>
  <si>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</si>
  <si>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</si>
  <si>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</si>
  <si>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</si>
  <si>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</si>
  <si>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</si>
  <si>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</si>
  <si>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</si>
  <si>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</si>
  <si>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</si>
  <si>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</si>
  <si>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</si>
  <si>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</si>
  <si>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</si>
  <si>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</si>
  <si>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</si>
  <si>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</si>
  <si>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</si>
  <si>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</si>
  <si>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</si>
  <si>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</si>
  <si>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</si>
  <si>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</si>
  <si>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</si>
  <si>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</si>
  <si>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</si>
  <si>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</si>
  <si>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</si>
  <si>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</si>
  <si>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</si>
  <si>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</si>
  <si>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</si>
  <si>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</si>
  <si>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</si>
  <si>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</si>
  <si>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</si>
  <si>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</si>
  <si>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</si>
  <si>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</si>
  <si>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</si>
  <si>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</si>
  <si>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</si>
  <si>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</si>
  <si>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</si>
  <si>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</si>
  <si>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</si>
  <si>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</si>
  <si>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</si>
  <si>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</si>
  <si>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</si>
  <si>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</si>
  <si>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</si>
  <si>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</si>
  <si>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</si>
  <si>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</si>
  <si>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</si>
  <si>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</si>
  <si>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</si>
  <si>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</si>
  <si>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</si>
  <si>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</si>
  <si>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</si>
  <si>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</si>
  <si>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</si>
  <si>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</si>
  <si>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</si>
  <si>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</si>
  <si>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</si>
  <si>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</si>
  <si>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</si>
  <si>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</si>
  <si>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</si>
  <si>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</si>
  <si>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</si>
  <si>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</si>
  <si>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</si>
  <si>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</si>
  <si>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</si>
  <si>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</si>
  <si>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</si>
  <si>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</si>
  <si>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</si>
  <si>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</si>
  <si>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</si>
  <si>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</si>
  <si>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</si>
  <si>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</si>
  <si>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</si>
  <si>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</si>
  <si>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</si>
  <si>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</si>
  <si>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</si>
  <si>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</si>
  <si>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</si>
  <si>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</si>
  <si>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('biosphere3', 'a861cfae-a310-4e9d-b9eb-5d555c9a684c')</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</si>
  <si>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</si>
  <si>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</si>
  <si>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</si>
  <si>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</si>
  <si>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</si>
  <si>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</si>
  <si>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</si>
  <si>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</si>
  <si>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</si>
  <si>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</si>
  <si>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</si>
  <si>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</si>
  <si>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</si>
  <si>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</si>
  <si>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</si>
  <si>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</si>
  <si>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</si>
  <si>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</si>
  <si>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</si>
  <si>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</si>
  <si>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</si>
  <si>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</si>
  <si>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</si>
  <si>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</si>
  <si>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</si>
  <si>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</si>
  <si>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</si>
  <si>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</si>
  <si>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</si>
  <si>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</si>
  <si>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</si>
  <si>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</si>
  <si>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</si>
  <si>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</si>
  <si>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</si>
  <si>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</si>
  <si>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</si>
  <si>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</si>
  <si>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</si>
  <si>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</si>
  <si>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</si>
  <si>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</si>
  <si>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</si>
  <si>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</si>
  <si>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</si>
  <si>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</si>
  <si>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</si>
  <si>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</si>
  <si>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</si>
  <si>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</si>
  <si>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</si>
  <si>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</si>
  <si>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</si>
  <si>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</si>
  <si>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</si>
  <si>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</si>
  <si>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</si>
  <si>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</si>
  <si>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</si>
  <si>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</si>
  <si>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</si>
  <si>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</si>
  <si>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</si>
  <si>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</si>
  <si>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</si>
  <si>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</si>
  <si>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</si>
  <si>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</si>
  <si>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</si>
  <si>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</si>
  <si>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</si>
  <si>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</si>
  <si>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</si>
  <si>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</si>
  <si>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</si>
  <si>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</si>
  <si>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</si>
  <si>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</si>
  <si>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</si>
  <si>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</si>
  <si>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</si>
  <si>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</si>
  <si>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</si>
  <si>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</si>
  <si>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</si>
  <si>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</si>
  <si>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</si>
  <si>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</si>
  <si>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</si>
  <si>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</si>
  <si>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</si>
  <si>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</si>
  <si>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</si>
  <si>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</si>
  <si>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</si>
  <si>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</si>
  <si>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</si>
  <si>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</si>
  <si>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</si>
  <si>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</si>
  <si>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</si>
  <si>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</si>
  <si>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</si>
  <si>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</si>
  <si>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</si>
  <si>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</si>
  <si>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</si>
  <si>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</si>
  <si>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</si>
  <si>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</si>
  <si>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</si>
  <si>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</si>
  <si>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</si>
  <si>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</si>
  <si>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</si>
  <si>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</si>
  <si>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</si>
  <si>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</si>
  <si>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</si>
  <si>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</si>
  <si>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</si>
  <si>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</si>
  <si>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</si>
  <si>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</si>
  <si>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</si>
  <si>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</si>
  <si>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</si>
  <si>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</si>
  <si>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</si>
  <si>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</si>
  <si>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</si>
  <si>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</si>
  <si>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</si>
  <si>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</si>
  <si>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market for heat shelter, Tr2050</t>
  </si>
  <si>
    <t>Illumination</t>
  </si>
  <si>
    <t>Space heating and cooling</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</si>
  <si>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</si>
  <si>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</si>
  <si>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</si>
  <si>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</si>
  <si>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</si>
  <si>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</si>
  <si>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</si>
  <si>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</si>
  <si>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</si>
  <si>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</si>
  <si>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</si>
  <si>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</si>
  <si>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</si>
  <si>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</si>
  <si>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</si>
  <si>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</si>
  <si>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</si>
  <si>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</si>
  <si>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</si>
  <si>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</si>
  <si>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</si>
  <si>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</si>
  <si>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</si>
  <si>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</si>
  <si>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</si>
  <si>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</si>
  <si>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</si>
  <si>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</si>
  <si>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</si>
  <si>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</si>
  <si>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</si>
  <si>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</si>
  <si>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</si>
  <si>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</si>
  <si>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</si>
  <si>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</si>
  <si>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</si>
  <si>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heat non-residential, Tr2050</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</si>
  <si>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</si>
  <si>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</si>
  <si>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</si>
  <si>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</si>
  <si>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</si>
  <si>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</si>
  <si>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</si>
  <si>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</si>
  <si>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</si>
  <si>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</si>
  <si>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</si>
  <si>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market for EoL, Tr2050</t>
  </si>
  <si>
    <t>waste treatment</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</si>
  <si>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</si>
  <si>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</si>
  <si>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</si>
  <si>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</si>
  <si>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</si>
  <si>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</si>
  <si>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</si>
  <si>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</si>
  <si>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</si>
  <si>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</si>
  <si>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</si>
  <si>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</si>
  <si>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transport, passenger</t>
  </si>
  <si>
    <t>pkm</t>
  </si>
  <si>
    <t>market for passenger mobility, Tr2050</t>
  </si>
  <si>
    <t>Scaled to 1 pkm from "GENESIS_2030_conventional_Base" (Thonemann et al., 2024) considering kerosene consumption and infrastructure in ecoinvent 391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</si>
</sst>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67"/>
  <sheetViews>
    <sheetView tabSelected="1" topLeftCell="A1406" zoomScaleNormal="100" workbookViewId="0">
      <selection activeCell="C1436" sqref="C1436"/>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519</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505</v>
      </c>
      <c r="K277" s="22"/>
      <c r="L277" s="22"/>
      <c r="M277" s="22"/>
      <c r="N277" s="22"/>
    </row>
    <row r="278" spans="1:14">
      <c r="A278" t="s">
        <v>497</v>
      </c>
      <c r="B278" t="s">
        <v>497</v>
      </c>
      <c r="C278" s="13">
        <v>3.331311572796599E-2</v>
      </c>
      <c r="D278" t="s">
        <v>35</v>
      </c>
      <c r="E278" s="31" t="s">
        <v>131</v>
      </c>
      <c r="F278" s="22" t="s">
        <v>96</v>
      </c>
      <c r="H278" s="22" t="s">
        <v>12</v>
      </c>
      <c r="I278" s="22" t="s">
        <v>506</v>
      </c>
      <c r="K278" s="22"/>
      <c r="L278" s="22"/>
      <c r="M278" s="22"/>
      <c r="N278" s="22"/>
    </row>
    <row r="279" spans="1:14">
      <c r="A279" t="s">
        <v>273</v>
      </c>
      <c r="B279" t="s">
        <v>273</v>
      </c>
      <c r="C279" s="13">
        <v>6.2514013928414991E-2</v>
      </c>
      <c r="D279" t="s">
        <v>35</v>
      </c>
      <c r="E279" s="31" t="s">
        <v>131</v>
      </c>
      <c r="F279" s="22" t="s">
        <v>28</v>
      </c>
      <c r="H279" s="22" t="s">
        <v>12</v>
      </c>
      <c r="I279" s="22" t="s">
        <v>507</v>
      </c>
      <c r="K279" s="22"/>
      <c r="L279" s="22"/>
      <c r="M279" s="22"/>
      <c r="N279" s="22"/>
    </row>
    <row r="280" spans="1:14">
      <c r="A280" t="s">
        <v>27</v>
      </c>
      <c r="B280" t="s">
        <v>20</v>
      </c>
      <c r="C280" s="13">
        <v>1.5299664538404997E-2</v>
      </c>
      <c r="D280" t="s">
        <v>19</v>
      </c>
      <c r="E280" s="31" t="s">
        <v>131</v>
      </c>
      <c r="F280" s="22" t="s">
        <v>28</v>
      </c>
      <c r="H280" s="22" t="s">
        <v>12</v>
      </c>
      <c r="I280" s="22" t="s">
        <v>508</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498</v>
      </c>
      <c r="B285" t="s">
        <v>502</v>
      </c>
      <c r="C285" s="13">
        <v>4.9173129999999992E-7</v>
      </c>
      <c r="D285" t="s">
        <v>13</v>
      </c>
      <c r="E285" s="31" t="s">
        <v>131</v>
      </c>
      <c r="F285" s="22" t="s">
        <v>96</v>
      </c>
      <c r="H285" s="22" t="s">
        <v>12</v>
      </c>
      <c r="I285" s="22" t="s">
        <v>509</v>
      </c>
      <c r="K285" s="22"/>
      <c r="L285" s="22"/>
      <c r="M285" s="22"/>
      <c r="N285" s="22"/>
    </row>
    <row r="286" spans="1:14">
      <c r="A286" t="s">
        <v>317</v>
      </c>
      <c r="B286" t="s">
        <v>318</v>
      </c>
      <c r="C286" s="13">
        <v>2.3043064149999999E-4</v>
      </c>
      <c r="D286" t="s">
        <v>13</v>
      </c>
      <c r="E286" s="26" t="s">
        <v>83</v>
      </c>
      <c r="F286" s="22" t="s">
        <v>96</v>
      </c>
      <c r="H286" s="22" t="s">
        <v>12</v>
      </c>
      <c r="I286" s="22" t="s">
        <v>510</v>
      </c>
      <c r="K286" s="22"/>
      <c r="L286" s="22"/>
      <c r="M286" s="22"/>
      <c r="N286" s="22"/>
    </row>
    <row r="287" spans="1:14">
      <c r="A287" t="s">
        <v>315</v>
      </c>
      <c r="B287" t="s">
        <v>316</v>
      </c>
      <c r="C287" s="13">
        <v>3.2200000000000002E-3</v>
      </c>
      <c r="D287" t="s">
        <v>13</v>
      </c>
      <c r="E287" s="26" t="s">
        <v>83</v>
      </c>
      <c r="F287" s="22" t="s">
        <v>96</v>
      </c>
      <c r="H287" s="22" t="s">
        <v>12</v>
      </c>
      <c r="I287" s="22" t="s">
        <v>511</v>
      </c>
      <c r="K287" s="22"/>
      <c r="L287" s="22"/>
      <c r="M287" s="22"/>
      <c r="N287" s="22"/>
    </row>
    <row r="288" spans="1:14">
      <c r="A288" t="s">
        <v>499</v>
      </c>
      <c r="B288" t="s">
        <v>503</v>
      </c>
      <c r="C288" s="13">
        <v>8.2529999999999998E-5</v>
      </c>
      <c r="D288" t="s">
        <v>164</v>
      </c>
      <c r="E288" s="26" t="s">
        <v>83</v>
      </c>
      <c r="F288" s="22" t="s">
        <v>96</v>
      </c>
      <c r="H288" s="22" t="s">
        <v>12</v>
      </c>
      <c r="I288" s="22" t="s">
        <v>512</v>
      </c>
      <c r="J288" s="22"/>
      <c r="K288" s="22"/>
      <c r="L288" s="22"/>
      <c r="M288" s="22"/>
      <c r="N288" s="22"/>
    </row>
    <row r="289" spans="1:14">
      <c r="A289" t="s">
        <v>500</v>
      </c>
      <c r="B289" t="s">
        <v>504</v>
      </c>
      <c r="C289" s="13">
        <v>0.24474000000000001</v>
      </c>
      <c r="D289" t="s">
        <v>91</v>
      </c>
      <c r="E289" s="26" t="s">
        <v>83</v>
      </c>
      <c r="F289" s="22" t="s">
        <v>28</v>
      </c>
      <c r="H289" s="22" t="s">
        <v>12</v>
      </c>
      <c r="I289" s="22" t="s">
        <v>513</v>
      </c>
      <c r="J289" s="22"/>
      <c r="K289" s="22"/>
      <c r="L289" s="22"/>
      <c r="M289" s="22"/>
      <c r="N289" s="22"/>
    </row>
    <row r="290" spans="1:14">
      <c r="A290" t="s">
        <v>123</v>
      </c>
      <c r="B290"/>
      <c r="C290" s="13">
        <v>0</v>
      </c>
      <c r="D290" t="s">
        <v>13</v>
      </c>
      <c r="E290" s="26" t="s">
        <v>83</v>
      </c>
      <c r="F290" s="22"/>
      <c r="G290" t="s">
        <v>124</v>
      </c>
      <c r="H290" s="22" t="s">
        <v>15</v>
      </c>
      <c r="I290" s="22" t="s">
        <v>514</v>
      </c>
      <c r="J290" s="22"/>
      <c r="K290" s="22"/>
      <c r="L290" s="22"/>
      <c r="M290" s="22"/>
      <c r="N290" s="22"/>
    </row>
    <row r="291" spans="1:14">
      <c r="A291" t="s">
        <v>327</v>
      </c>
      <c r="C291" s="13">
        <v>13.622223068650793</v>
      </c>
      <c r="D291" t="s">
        <v>35</v>
      </c>
      <c r="E291" s="26" t="s">
        <v>83</v>
      </c>
      <c r="F291" s="22"/>
      <c r="G291" t="s">
        <v>328</v>
      </c>
      <c r="H291" s="22" t="s">
        <v>15</v>
      </c>
      <c r="I291" s="22" t="s">
        <v>514</v>
      </c>
      <c r="J291" s="22"/>
      <c r="K291" s="22"/>
      <c r="L291" s="22"/>
      <c r="M291" s="22"/>
      <c r="N291" s="22"/>
    </row>
    <row r="292" spans="1:14">
      <c r="A292" t="s">
        <v>32</v>
      </c>
      <c r="C292" s="13">
        <v>2.2165309999999994E-2</v>
      </c>
      <c r="D292" t="s">
        <v>13</v>
      </c>
      <c r="E292" s="26" t="s">
        <v>83</v>
      </c>
      <c r="F292" s="22"/>
      <c r="G292" t="s">
        <v>25</v>
      </c>
      <c r="H292" s="22" t="s">
        <v>15</v>
      </c>
      <c r="I292" s="22" t="s">
        <v>515</v>
      </c>
      <c r="J292" s="22"/>
      <c r="K292" s="22"/>
      <c r="L292" s="22"/>
      <c r="M292" s="22"/>
      <c r="N292" s="22"/>
    </row>
    <row r="293" spans="1:14">
      <c r="A293" t="s">
        <v>501</v>
      </c>
      <c r="C293" s="13">
        <v>3.6196777999999996E-4</v>
      </c>
      <c r="D293" t="s">
        <v>13</v>
      </c>
      <c r="E293" s="26" t="s">
        <v>83</v>
      </c>
      <c r="F293" s="22"/>
      <c r="G293" t="s">
        <v>25</v>
      </c>
      <c r="H293" s="22" t="s">
        <v>15</v>
      </c>
      <c r="I293" s="22" t="s">
        <v>516</v>
      </c>
      <c r="J293" s="22"/>
      <c r="K293" s="22"/>
      <c r="L293" s="22"/>
      <c r="M293" s="22"/>
      <c r="N293" s="22"/>
    </row>
    <row r="294" spans="1:14">
      <c r="A294" t="s">
        <v>85</v>
      </c>
      <c r="C294" s="13">
        <v>4.5200696999999994E-4</v>
      </c>
      <c r="D294" t="s">
        <v>13</v>
      </c>
      <c r="E294" s="26" t="s">
        <v>83</v>
      </c>
      <c r="F294" s="22"/>
      <c r="G294" t="s">
        <v>25</v>
      </c>
      <c r="H294" s="22" t="s">
        <v>15</v>
      </c>
      <c r="I294" s="22" t="s">
        <v>517</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518</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520</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520</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484</v>
      </c>
    </row>
    <row r="1055" spans="1:9">
      <c r="A1055" s="24" t="s">
        <v>2</v>
      </c>
      <c r="B1055" s="26" t="s">
        <v>28</v>
      </c>
      <c r="H1055" s="55"/>
    </row>
    <row r="1056" spans="1:9">
      <c r="A1056" s="24" t="s">
        <v>3</v>
      </c>
      <c r="B1056">
        <v>1</v>
      </c>
      <c r="F1056" s="13"/>
      <c r="H1056" s="13"/>
    </row>
    <row r="1057" spans="1:10">
      <c r="A1057" s="24" t="s">
        <v>4</v>
      </c>
      <c r="B1057" s="26" t="s">
        <v>485</v>
      </c>
      <c r="F1057" s="13"/>
      <c r="J1057" s="56"/>
    </row>
    <row r="1058" spans="1:10">
      <c r="A1058" s="24" t="s">
        <v>5</v>
      </c>
      <c r="B1058" t="s">
        <v>59</v>
      </c>
      <c r="F1058" s="20"/>
    </row>
    <row r="1059" spans="1:10">
      <c r="A1059" s="24" t="s">
        <v>6</v>
      </c>
      <c r="B1059" t="s">
        <v>486</v>
      </c>
    </row>
    <row r="1060" spans="1:10">
      <c r="A1060" s="24" t="s">
        <v>57</v>
      </c>
      <c r="B1060" t="s">
        <v>759</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484</v>
      </c>
      <c r="B1063" s="26" t="s">
        <v>485</v>
      </c>
      <c r="C1063">
        <v>1</v>
      </c>
      <c r="D1063" t="s">
        <v>486</v>
      </c>
      <c r="G1063" t="s">
        <v>28</v>
      </c>
      <c r="H1063" t="s">
        <v>18</v>
      </c>
    </row>
    <row r="1064" spans="1:10">
      <c r="A1064" t="s">
        <v>481</v>
      </c>
      <c r="B1064" s="13" t="s">
        <v>480</v>
      </c>
      <c r="C1064" s="13">
        <v>8.9619999999999997E-11</v>
      </c>
      <c r="D1064" t="s">
        <v>6</v>
      </c>
      <c r="G1064" t="s">
        <v>96</v>
      </c>
      <c r="H1064" t="s">
        <v>12</v>
      </c>
    </row>
    <row r="1065" spans="1:10">
      <c r="A1065" t="s">
        <v>483</v>
      </c>
      <c r="B1065" s="13" t="s">
        <v>482</v>
      </c>
      <c r="C1065" s="13">
        <v>2.5800000000000001E-13</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487</v>
      </c>
    </row>
    <row r="1075" spans="1:10">
      <c r="A1075" s="24" t="s">
        <v>2</v>
      </c>
      <c r="B1075" s="26" t="s">
        <v>28</v>
      </c>
      <c r="H1075" s="55"/>
    </row>
    <row r="1076" spans="1:10">
      <c r="A1076" s="24" t="s">
        <v>3</v>
      </c>
      <c r="B1076">
        <v>1</v>
      </c>
      <c r="F1076" s="13"/>
      <c r="H1076" s="13"/>
    </row>
    <row r="1077" spans="1:10">
      <c r="A1077" s="24" t="s">
        <v>4</v>
      </c>
      <c r="B1077" s="26" t="s">
        <v>488</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487</v>
      </c>
      <c r="B1083" s="26" t="s">
        <v>488</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494</v>
      </c>
    </row>
    <row r="1087" spans="1:10">
      <c r="A1087" s="24" t="s">
        <v>2</v>
      </c>
      <c r="B1087" s="26" t="s">
        <v>28</v>
      </c>
      <c r="H1087" s="55"/>
    </row>
    <row r="1088" spans="1:10">
      <c r="A1088" s="24" t="s">
        <v>3</v>
      </c>
      <c r="B1088">
        <v>1</v>
      </c>
      <c r="F1088" s="13"/>
      <c r="H1088" s="13"/>
    </row>
    <row r="1089" spans="1:10">
      <c r="A1089" s="24" t="s">
        <v>4</v>
      </c>
      <c r="B1089" s="26" t="s">
        <v>495</v>
      </c>
      <c r="F1089" s="13"/>
      <c r="J1089" s="56"/>
    </row>
    <row r="1090" spans="1:10">
      <c r="A1090" s="24" t="s">
        <v>5</v>
      </c>
      <c r="B1090" t="s">
        <v>59</v>
      </c>
      <c r="F1090" s="20"/>
    </row>
    <row r="1091" spans="1:10">
      <c r="A1091" s="24" t="s">
        <v>6</v>
      </c>
      <c r="B1091" t="s">
        <v>13</v>
      </c>
    </row>
    <row r="1092" spans="1:10">
      <c r="A1092" s="24" t="s">
        <v>57</v>
      </c>
      <c r="B1092" t="s">
        <v>493</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494</v>
      </c>
      <c r="B1095" s="26" t="s">
        <v>495</v>
      </c>
      <c r="C1095">
        <v>1</v>
      </c>
      <c r="D1095" t="s">
        <v>13</v>
      </c>
      <c r="G1095" t="s">
        <v>28</v>
      </c>
      <c r="H1095" t="s">
        <v>18</v>
      </c>
    </row>
    <row r="1096" spans="1:10">
      <c r="A1096" t="s">
        <v>34</v>
      </c>
      <c r="B1096" s="13" t="s">
        <v>33</v>
      </c>
      <c r="C1096" s="13">
        <v>8.3599999999999999E-5</v>
      </c>
      <c r="D1096" t="s">
        <v>19</v>
      </c>
      <c r="G1096" t="s">
        <v>28</v>
      </c>
      <c r="H1096" t="s">
        <v>12</v>
      </c>
    </row>
    <row r="1097" spans="1:10">
      <c r="A1097" t="s">
        <v>496</v>
      </c>
      <c r="B1097" s="13" t="s">
        <v>448</v>
      </c>
      <c r="C1097">
        <v>6.25E-2</v>
      </c>
      <c r="D1097" s="13" t="s">
        <v>35</v>
      </c>
      <c r="G1097" t="s">
        <v>134</v>
      </c>
      <c r="H1097" t="s">
        <v>12</v>
      </c>
    </row>
    <row r="1098" spans="1:10">
      <c r="A1098" t="s">
        <v>489</v>
      </c>
      <c r="B1098" s="13" t="s">
        <v>492</v>
      </c>
      <c r="C1098" s="41">
        <v>0.33329999999999999</v>
      </c>
      <c r="D1098" t="s">
        <v>13</v>
      </c>
      <c r="G1098" t="s">
        <v>26</v>
      </c>
      <c r="H1098" t="s">
        <v>12</v>
      </c>
    </row>
    <row r="1099" spans="1:10">
      <c r="A1099" t="s">
        <v>490</v>
      </c>
      <c r="B1099" s="13" t="s">
        <v>492</v>
      </c>
      <c r="C1099" s="41">
        <v>0.33329999999999999</v>
      </c>
      <c r="D1099" t="s">
        <v>13</v>
      </c>
      <c r="G1099" t="s">
        <v>26</v>
      </c>
      <c r="H1099" t="s">
        <v>12</v>
      </c>
    </row>
    <row r="1100" spans="1:10">
      <c r="A1100" t="s">
        <v>491</v>
      </c>
      <c r="B1100" s="13" t="s">
        <v>492</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520</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520</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521</v>
      </c>
      <c r="C1118" s="13">
        <v>1.46999999999999E-7</v>
      </c>
      <c r="D1118" t="s">
        <v>13</v>
      </c>
      <c r="E1118" t="s">
        <v>83</v>
      </c>
      <c r="F1118" t="s">
        <v>174</v>
      </c>
      <c r="H1118" t="s">
        <v>15</v>
      </c>
    </row>
    <row r="1119" spans="1:10">
      <c r="A1119" t="s">
        <v>522</v>
      </c>
      <c r="C1119" s="13">
        <v>3.91999999999998E-7</v>
      </c>
      <c r="D1119" t="s">
        <v>13</v>
      </c>
      <c r="E1119" t="s">
        <v>83</v>
      </c>
      <c r="F1119" t="s">
        <v>174</v>
      </c>
      <c r="H1119" t="s">
        <v>15</v>
      </c>
    </row>
    <row r="1120" spans="1:10">
      <c r="A1120" t="s">
        <v>523</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524</v>
      </c>
      <c r="C1124" s="13">
        <v>2.9399999999999797E-17</v>
      </c>
      <c r="D1124" t="s">
        <v>13</v>
      </c>
      <c r="E1124" t="s">
        <v>83</v>
      </c>
      <c r="F1124" t="s">
        <v>174</v>
      </c>
      <c r="H1124" t="s">
        <v>15</v>
      </c>
    </row>
    <row r="1125" spans="1:8">
      <c r="A1125" t="s">
        <v>525</v>
      </c>
      <c r="C1125" s="13">
        <v>9.7999999999999594E-8</v>
      </c>
      <c r="D1125" t="s">
        <v>13</v>
      </c>
      <c r="E1125" t="s">
        <v>83</v>
      </c>
      <c r="F1125" t="s">
        <v>174</v>
      </c>
      <c r="H1125" t="s">
        <v>15</v>
      </c>
    </row>
    <row r="1126" spans="1:8">
      <c r="A1126" t="s">
        <v>526</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527</v>
      </c>
      <c r="C1128" s="13">
        <v>9.7999999999999604E-9</v>
      </c>
      <c r="D1128" t="s">
        <v>13</v>
      </c>
      <c r="E1128" t="s">
        <v>83</v>
      </c>
      <c r="F1128" t="s">
        <v>174</v>
      </c>
      <c r="H1128" t="s">
        <v>15</v>
      </c>
    </row>
    <row r="1129" spans="1:8">
      <c r="A1129" t="s">
        <v>528</v>
      </c>
      <c r="C1129" s="13">
        <v>9.7999999999999594E-8</v>
      </c>
      <c r="D1129" t="s">
        <v>13</v>
      </c>
      <c r="E1129" t="s">
        <v>83</v>
      </c>
      <c r="F1129" t="s">
        <v>174</v>
      </c>
      <c r="H1129" t="s">
        <v>15</v>
      </c>
    </row>
    <row r="1130" spans="1:8">
      <c r="A1130" t="s">
        <v>529</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530</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531</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532</v>
      </c>
      <c r="C1136" s="13">
        <v>2.9399999999999799E-9</v>
      </c>
      <c r="D1136" t="s">
        <v>13</v>
      </c>
      <c r="E1136" t="s">
        <v>83</v>
      </c>
      <c r="F1136" t="s">
        <v>208</v>
      </c>
      <c r="H1136" t="s">
        <v>15</v>
      </c>
    </row>
    <row r="1137" spans="1:10">
      <c r="A1137" t="s">
        <v>533</v>
      </c>
      <c r="C1137" s="13">
        <v>4.8999999999999797E-8</v>
      </c>
      <c r="D1137" t="s">
        <v>13</v>
      </c>
      <c r="E1137" t="s">
        <v>83</v>
      </c>
      <c r="F1137" t="s">
        <v>208</v>
      </c>
      <c r="H1137" t="s">
        <v>15</v>
      </c>
    </row>
    <row r="1138" spans="1:10">
      <c r="A1138" t="s">
        <v>534</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535</v>
      </c>
    </row>
    <row r="1141" spans="1:10">
      <c r="A1141" s="24" t="s">
        <v>2</v>
      </c>
      <c r="B1141" s="13" t="s">
        <v>28</v>
      </c>
      <c r="H1141" s="55"/>
    </row>
    <row r="1142" spans="1:10">
      <c r="A1142" s="24" t="s">
        <v>3</v>
      </c>
      <c r="B1142" s="13">
        <v>1</v>
      </c>
      <c r="F1142" s="13"/>
      <c r="H1142" s="13"/>
    </row>
    <row r="1143" spans="1:10">
      <c r="A1143" s="24" t="s">
        <v>4</v>
      </c>
      <c r="B1143" s="13" t="s">
        <v>536</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535</v>
      </c>
      <c r="B1149" s="13" t="s">
        <v>536</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537</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521</v>
      </c>
      <c r="C1156" s="13">
        <v>1.46999999999999E-7</v>
      </c>
      <c r="D1156" t="s">
        <v>13</v>
      </c>
      <c r="E1156" t="s">
        <v>83</v>
      </c>
      <c r="F1156" t="s">
        <v>174</v>
      </c>
      <c r="H1156" t="s">
        <v>15</v>
      </c>
    </row>
    <row r="1157" spans="1:8">
      <c r="A1157" t="s">
        <v>522</v>
      </c>
      <c r="C1157" s="13">
        <v>3.91999999999998E-7</v>
      </c>
      <c r="D1157" t="s">
        <v>13</v>
      </c>
      <c r="E1157" t="s">
        <v>83</v>
      </c>
      <c r="F1157" t="s">
        <v>174</v>
      </c>
      <c r="H1157" t="s">
        <v>15</v>
      </c>
    </row>
    <row r="1158" spans="1:8">
      <c r="A1158" t="s">
        <v>523</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524</v>
      </c>
      <c r="C1162" s="13">
        <v>2.9399999999999797E-17</v>
      </c>
      <c r="D1162" t="s">
        <v>13</v>
      </c>
      <c r="E1162" t="s">
        <v>83</v>
      </c>
      <c r="F1162" t="s">
        <v>174</v>
      </c>
      <c r="H1162" t="s">
        <v>15</v>
      </c>
    </row>
    <row r="1163" spans="1:8">
      <c r="A1163" t="s">
        <v>525</v>
      </c>
      <c r="C1163" s="13">
        <v>9.7999999999999594E-8</v>
      </c>
      <c r="D1163" t="s">
        <v>13</v>
      </c>
      <c r="E1163" t="s">
        <v>83</v>
      </c>
      <c r="F1163" t="s">
        <v>174</v>
      </c>
      <c r="H1163" t="s">
        <v>15</v>
      </c>
    </row>
    <row r="1164" spans="1:8">
      <c r="A1164" t="s">
        <v>526</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527</v>
      </c>
      <c r="C1166" s="13">
        <v>9.7999999999999604E-9</v>
      </c>
      <c r="D1166" t="s">
        <v>13</v>
      </c>
      <c r="E1166" t="s">
        <v>83</v>
      </c>
      <c r="F1166" t="s">
        <v>174</v>
      </c>
      <c r="H1166" t="s">
        <v>15</v>
      </c>
    </row>
    <row r="1167" spans="1:8">
      <c r="A1167" t="s">
        <v>528</v>
      </c>
      <c r="C1167" s="13">
        <v>9.7999999999999594E-8</v>
      </c>
      <c r="D1167" t="s">
        <v>13</v>
      </c>
      <c r="E1167" t="s">
        <v>83</v>
      </c>
      <c r="F1167" t="s">
        <v>174</v>
      </c>
      <c r="H1167" t="s">
        <v>15</v>
      </c>
    </row>
    <row r="1168" spans="1:8">
      <c r="A1168" t="s">
        <v>529</v>
      </c>
      <c r="C1168" s="13">
        <v>1.1759999999999901E-6</v>
      </c>
      <c r="D1168" t="s">
        <v>13</v>
      </c>
      <c r="E1168" t="s">
        <v>83</v>
      </c>
      <c r="F1168" t="s">
        <v>174</v>
      </c>
      <c r="H1168" t="s">
        <v>15</v>
      </c>
    </row>
    <row r="1169" spans="1:9">
      <c r="A1169" t="s">
        <v>88</v>
      </c>
      <c r="C1169" s="13">
        <v>1.95999999999999E-7</v>
      </c>
      <c r="D1169" t="s">
        <v>13</v>
      </c>
      <c r="E1169" t="s">
        <v>83</v>
      </c>
      <c r="F1169" t="s">
        <v>174</v>
      </c>
      <c r="H1169" t="s">
        <v>15</v>
      </c>
    </row>
    <row r="1170" spans="1:9">
      <c r="A1170" t="s">
        <v>530</v>
      </c>
      <c r="C1170" s="13">
        <v>1.9599999999999901E-8</v>
      </c>
      <c r="D1170" t="s">
        <v>13</v>
      </c>
      <c r="E1170" t="s">
        <v>83</v>
      </c>
      <c r="F1170" t="s">
        <v>174</v>
      </c>
      <c r="H1170" t="s">
        <v>15</v>
      </c>
    </row>
    <row r="1171" spans="1:9">
      <c r="A1171" t="s">
        <v>89</v>
      </c>
      <c r="C1171" s="13">
        <v>4.8999999999999796E-7</v>
      </c>
      <c r="D1171" t="s">
        <v>13</v>
      </c>
      <c r="E1171" t="s">
        <v>83</v>
      </c>
      <c r="F1171" t="s">
        <v>174</v>
      </c>
      <c r="H1171" t="s">
        <v>15</v>
      </c>
    </row>
    <row r="1172" spans="1:9">
      <c r="A1172" t="s">
        <v>531</v>
      </c>
      <c r="C1172" s="13">
        <v>1.95999999999999E-7</v>
      </c>
      <c r="D1172" t="s">
        <v>13</v>
      </c>
      <c r="E1172" t="s">
        <v>83</v>
      </c>
      <c r="F1172" t="s">
        <v>174</v>
      </c>
      <c r="H1172" t="s">
        <v>15</v>
      </c>
    </row>
    <row r="1173" spans="1:9">
      <c r="A1173" t="s">
        <v>166</v>
      </c>
      <c r="C1173" s="13">
        <v>1.2739999999999901E-7</v>
      </c>
      <c r="D1173" t="s">
        <v>13</v>
      </c>
      <c r="E1173" t="s">
        <v>83</v>
      </c>
      <c r="F1173" t="s">
        <v>208</v>
      </c>
      <c r="H1173" t="s">
        <v>15</v>
      </c>
    </row>
    <row r="1174" spans="1:9">
      <c r="A1174" t="s">
        <v>532</v>
      </c>
      <c r="C1174" s="13">
        <v>2.9399999999999799E-9</v>
      </c>
      <c r="D1174" t="s">
        <v>13</v>
      </c>
      <c r="E1174" t="s">
        <v>83</v>
      </c>
      <c r="F1174" t="s">
        <v>208</v>
      </c>
      <c r="H1174" t="s">
        <v>15</v>
      </c>
    </row>
    <row r="1175" spans="1:9">
      <c r="A1175" t="s">
        <v>533</v>
      </c>
      <c r="C1175" s="13">
        <v>4.8999999999999797E-8</v>
      </c>
      <c r="D1175" t="s">
        <v>13</v>
      </c>
      <c r="E1175" t="s">
        <v>83</v>
      </c>
      <c r="F1175" t="s">
        <v>208</v>
      </c>
      <c r="H1175" t="s">
        <v>15</v>
      </c>
    </row>
    <row r="1176" spans="1:9">
      <c r="A1176" t="s">
        <v>534</v>
      </c>
      <c r="C1176" s="13">
        <v>4.8999999999999797E-8</v>
      </c>
      <c r="D1176" t="s">
        <v>13</v>
      </c>
      <c r="E1176" t="s">
        <v>83</v>
      </c>
      <c r="F1176" t="s">
        <v>208</v>
      </c>
      <c r="H1176" t="s">
        <v>15</v>
      </c>
    </row>
    <row r="1177" spans="1:9">
      <c r="A1177" s="49"/>
      <c r="B1177" s="50"/>
      <c r="C1177" s="49"/>
      <c r="D1177" s="49"/>
      <c r="E1177" s="49"/>
      <c r="F1177" s="49"/>
      <c r="G1177" s="49"/>
      <c r="H1177" s="49"/>
      <c r="I1177" s="49"/>
    </row>
    <row r="1178" spans="1:9" ht="15.6">
      <c r="A1178" s="18" t="s">
        <v>1</v>
      </c>
      <c r="B1178" s="23" t="s">
        <v>559</v>
      </c>
    </row>
    <row r="1179" spans="1:9">
      <c r="A1179" s="24" t="s">
        <v>2</v>
      </c>
      <c r="B1179" s="13" t="s">
        <v>36</v>
      </c>
      <c r="H1179" s="55"/>
    </row>
    <row r="1180" spans="1:9">
      <c r="A1180" s="24" t="s">
        <v>3</v>
      </c>
      <c r="B1180" s="13">
        <v>1</v>
      </c>
      <c r="F1180" s="13"/>
      <c r="H1180" s="13"/>
    </row>
    <row r="1181" spans="1:9">
      <c r="A1181" s="24" t="s">
        <v>4</v>
      </c>
      <c r="B1181" s="13" t="s">
        <v>557</v>
      </c>
      <c r="F1181" s="13"/>
    </row>
    <row r="1182" spans="1:9">
      <c r="A1182" s="24" t="s">
        <v>5</v>
      </c>
      <c r="B1182" s="13" t="s">
        <v>59</v>
      </c>
      <c r="F1182" s="20"/>
    </row>
    <row r="1183" spans="1:9">
      <c r="A1183" s="24" t="s">
        <v>6</v>
      </c>
      <c r="B1183" s="13" t="s">
        <v>6</v>
      </c>
    </row>
    <row r="1184" spans="1:9">
      <c r="A1184" s="24" t="s">
        <v>57</v>
      </c>
      <c r="B1184" s="13" t="s">
        <v>558</v>
      </c>
    </row>
    <row r="1185" spans="1:9" ht="15.6">
      <c r="A1185" s="18" t="s">
        <v>7</v>
      </c>
      <c r="C1185" s="25"/>
      <c r="D1185" s="26"/>
      <c r="E1185" s="26"/>
      <c r="F1185" s="26"/>
      <c r="G1185" s="26"/>
      <c r="H1185" s="26"/>
      <c r="I1185" s="26"/>
    </row>
    <row r="1186" spans="1:9">
      <c r="A1186" s="24" t="s">
        <v>8</v>
      </c>
      <c r="B1186" s="23" t="s">
        <v>4</v>
      </c>
      <c r="C1186" s="30" t="s">
        <v>9</v>
      </c>
      <c r="D1186" s="24" t="s">
        <v>6</v>
      </c>
      <c r="E1186" s="24" t="s">
        <v>81</v>
      </c>
      <c r="F1186" s="24" t="s">
        <v>10</v>
      </c>
      <c r="G1186" s="24" t="s">
        <v>2</v>
      </c>
      <c r="H1186" s="24" t="s">
        <v>5</v>
      </c>
      <c r="I1186" s="24" t="s">
        <v>11</v>
      </c>
    </row>
    <row r="1187" spans="1:9">
      <c r="A1187" s="13" t="s">
        <v>559</v>
      </c>
      <c r="B1187" s="13" t="s">
        <v>557</v>
      </c>
      <c r="C1187">
        <v>1</v>
      </c>
      <c r="D1187" t="s">
        <v>6</v>
      </c>
      <c r="G1187" t="s">
        <v>36</v>
      </c>
      <c r="H1187" t="s">
        <v>18</v>
      </c>
    </row>
    <row r="1188" spans="1:9">
      <c r="A1188" t="s">
        <v>571</v>
      </c>
      <c r="B1188" s="13" t="s">
        <v>560</v>
      </c>
      <c r="C1188" s="65">
        <v>6</v>
      </c>
      <c r="D1188" t="s">
        <v>13</v>
      </c>
      <c r="G1188" t="s">
        <v>36</v>
      </c>
      <c r="H1188" t="s">
        <v>12</v>
      </c>
    </row>
    <row r="1189" spans="1:9">
      <c r="A1189" t="s">
        <v>561</v>
      </c>
      <c r="B1189" t="s">
        <v>561</v>
      </c>
      <c r="C1189" s="41">
        <v>6</v>
      </c>
      <c r="D1189" t="s">
        <v>13</v>
      </c>
      <c r="G1189" t="s">
        <v>36</v>
      </c>
      <c r="H1189" t="s">
        <v>12</v>
      </c>
    </row>
    <row r="1190" spans="1:9">
      <c r="A1190" t="s">
        <v>562</v>
      </c>
      <c r="B1190" t="s">
        <v>563</v>
      </c>
      <c r="C1190" s="41">
        <v>0.75</v>
      </c>
      <c r="D1190" t="s">
        <v>13</v>
      </c>
      <c r="G1190" t="s">
        <v>96</v>
      </c>
      <c r="H1190" t="s">
        <v>12</v>
      </c>
    </row>
    <row r="1191" spans="1:9">
      <c r="A1191" t="s">
        <v>564</v>
      </c>
      <c r="B1191" s="13" t="s">
        <v>565</v>
      </c>
      <c r="C1191" s="13">
        <v>0.75</v>
      </c>
      <c r="D1191" t="s">
        <v>13</v>
      </c>
      <c r="G1191" t="s">
        <v>96</v>
      </c>
      <c r="H1191" t="s">
        <v>12</v>
      </c>
    </row>
    <row r="1192" spans="1:9">
      <c r="A1192" t="s">
        <v>567</v>
      </c>
      <c r="B1192" s="13" t="s">
        <v>566</v>
      </c>
      <c r="C1192" s="13">
        <v>0.5</v>
      </c>
      <c r="D1192" t="s">
        <v>13</v>
      </c>
      <c r="G1192" t="s">
        <v>36</v>
      </c>
      <c r="H1192" t="s">
        <v>12</v>
      </c>
    </row>
    <row r="1193" spans="1:9">
      <c r="A1193" t="s">
        <v>568</v>
      </c>
      <c r="B1193" s="13" t="s">
        <v>569</v>
      </c>
      <c r="C1193" s="13">
        <v>0.05</v>
      </c>
      <c r="D1193" t="s">
        <v>13</v>
      </c>
      <c r="G1193" t="s">
        <v>96</v>
      </c>
      <c r="H1193" t="s">
        <v>12</v>
      </c>
    </row>
    <row r="1194" spans="1:9">
      <c r="A1194" t="s">
        <v>570</v>
      </c>
      <c r="B1194" s="13" t="s">
        <v>570</v>
      </c>
      <c r="C1194" s="13">
        <v>1</v>
      </c>
      <c r="D1194" t="s">
        <v>13</v>
      </c>
      <c r="G1194" t="s">
        <v>36</v>
      </c>
      <c r="H1194" t="s">
        <v>12</v>
      </c>
    </row>
    <row r="1195" spans="1:9">
      <c r="A1195" s="49"/>
      <c r="B1195" s="50"/>
      <c r="C1195" s="49"/>
      <c r="D1195" s="49"/>
      <c r="E1195" s="49"/>
      <c r="F1195" s="49"/>
      <c r="G1195" s="49"/>
      <c r="H1195" s="49"/>
      <c r="I1195" s="49"/>
    </row>
    <row r="1196" spans="1:9" ht="15.6">
      <c r="A1196" s="18" t="s">
        <v>1</v>
      </c>
      <c r="B1196" s="23" t="s">
        <v>687</v>
      </c>
    </row>
    <row r="1197" spans="1:9">
      <c r="A1197" s="24" t="s">
        <v>2</v>
      </c>
      <c r="B1197" s="13" t="s">
        <v>28</v>
      </c>
      <c r="H1197" s="55"/>
    </row>
    <row r="1198" spans="1:9">
      <c r="A1198" s="24" t="s">
        <v>3</v>
      </c>
      <c r="B1198" s="13">
        <v>1</v>
      </c>
      <c r="F1198" s="13"/>
      <c r="H1198" s="13"/>
    </row>
    <row r="1199" spans="1:9">
      <c r="A1199" s="24" t="s">
        <v>4</v>
      </c>
      <c r="B1199" s="13" t="s">
        <v>572</v>
      </c>
      <c r="F1199" s="13"/>
    </row>
    <row r="1200" spans="1:9">
      <c r="A1200" s="24" t="s">
        <v>5</v>
      </c>
      <c r="B1200" s="13" t="s">
        <v>59</v>
      </c>
      <c r="F1200" s="20"/>
    </row>
    <row r="1201" spans="1:9">
      <c r="A1201" s="24" t="s">
        <v>6</v>
      </c>
      <c r="B1201" s="13" t="s">
        <v>6</v>
      </c>
    </row>
    <row r="1202" spans="1:9">
      <c r="A1202" s="24" t="s">
        <v>57</v>
      </c>
      <c r="B1202" s="13" t="s">
        <v>685</v>
      </c>
    </row>
    <row r="1203" spans="1:9" ht="15.6">
      <c r="A1203" s="18" t="s">
        <v>7</v>
      </c>
      <c r="C1203" s="25"/>
      <c r="D1203" s="26"/>
      <c r="E1203" s="26"/>
      <c r="F1203" s="26"/>
      <c r="G1203" s="26"/>
      <c r="H1203" s="26"/>
      <c r="I1203" s="26"/>
    </row>
    <row r="1204" spans="1:9">
      <c r="A1204" s="24" t="s">
        <v>8</v>
      </c>
      <c r="B1204" s="23" t="s">
        <v>4</v>
      </c>
      <c r="C1204" s="30" t="s">
        <v>9</v>
      </c>
      <c r="D1204" s="24" t="s">
        <v>6</v>
      </c>
      <c r="E1204" s="24" t="s">
        <v>81</v>
      </c>
      <c r="F1204" s="24" t="s">
        <v>10</v>
      </c>
      <c r="G1204" s="24" t="s">
        <v>2</v>
      </c>
      <c r="H1204" s="24" t="s">
        <v>5</v>
      </c>
      <c r="I1204" s="24" t="s">
        <v>11</v>
      </c>
    </row>
    <row r="1205" spans="1:9">
      <c r="A1205" s="26" t="s">
        <v>687</v>
      </c>
      <c r="B1205" s="13" t="s">
        <v>572</v>
      </c>
      <c r="C1205">
        <v>1</v>
      </c>
      <c r="D1205" t="s">
        <v>6</v>
      </c>
      <c r="F1205" s="24"/>
      <c r="G1205" s="13" t="s">
        <v>28</v>
      </c>
      <c r="H1205" t="s">
        <v>18</v>
      </c>
      <c r="I1205" s="24"/>
    </row>
    <row r="1206" spans="1:9">
      <c r="A1206" t="s">
        <v>573</v>
      </c>
      <c r="B1206" t="s">
        <v>574</v>
      </c>
      <c r="C1206" s="65">
        <v>16.342900178832888</v>
      </c>
      <c r="D1206" t="s">
        <v>13</v>
      </c>
      <c r="G1206" t="s">
        <v>96</v>
      </c>
      <c r="H1206" t="s">
        <v>12</v>
      </c>
    </row>
    <row r="1207" spans="1:9">
      <c r="A1207" t="s">
        <v>575</v>
      </c>
      <c r="B1207" t="s">
        <v>576</v>
      </c>
      <c r="C1207" s="20">
        <v>19.763507193007214</v>
      </c>
      <c r="D1207" t="s">
        <v>13</v>
      </c>
      <c r="G1207" t="s">
        <v>96</v>
      </c>
      <c r="H1207" t="s">
        <v>12</v>
      </c>
    </row>
    <row r="1208" spans="1:9">
      <c r="A1208" t="s">
        <v>577</v>
      </c>
      <c r="B1208" t="s">
        <v>578</v>
      </c>
      <c r="C1208" s="20">
        <v>10.641888488542348</v>
      </c>
      <c r="D1208" t="s">
        <v>13</v>
      </c>
      <c r="G1208" t="s">
        <v>96</v>
      </c>
      <c r="H1208" t="s">
        <v>12</v>
      </c>
    </row>
    <row r="1209" spans="1:9">
      <c r="A1209" t="s">
        <v>579</v>
      </c>
      <c r="B1209" t="s">
        <v>580</v>
      </c>
      <c r="C1209" s="20">
        <v>50.54897032057616</v>
      </c>
      <c r="D1209" t="s">
        <v>13</v>
      </c>
      <c r="G1209" t="s">
        <v>96</v>
      </c>
      <c r="H1209" t="s">
        <v>12</v>
      </c>
    </row>
    <row r="1210" spans="1:9">
      <c r="A1210" t="s">
        <v>581</v>
      </c>
      <c r="B1210" t="s">
        <v>582</v>
      </c>
      <c r="C1210" s="20">
        <v>50.54897032057616</v>
      </c>
      <c r="D1210" t="s">
        <v>13</v>
      </c>
      <c r="G1210" t="s">
        <v>96</v>
      </c>
      <c r="H1210" t="s">
        <v>12</v>
      </c>
    </row>
    <row r="1211" spans="1:9">
      <c r="A1211" t="s">
        <v>583</v>
      </c>
      <c r="B1211" t="s">
        <v>584</v>
      </c>
      <c r="C1211" s="20">
        <v>16.076852966619338</v>
      </c>
      <c r="D1211" t="s">
        <v>13</v>
      </c>
      <c r="G1211" t="s">
        <v>96</v>
      </c>
      <c r="H1211" t="s">
        <v>12</v>
      </c>
    </row>
    <row r="1212" spans="1:9">
      <c r="A1212" t="s">
        <v>585</v>
      </c>
      <c r="B1212" t="s">
        <v>586</v>
      </c>
      <c r="C1212" s="20">
        <v>1.786316996291037</v>
      </c>
      <c r="D1212" t="s">
        <v>13</v>
      </c>
      <c r="G1212" t="s">
        <v>96</v>
      </c>
      <c r="H1212" t="s">
        <v>12</v>
      </c>
    </row>
    <row r="1213" spans="1:9">
      <c r="A1213" t="s">
        <v>587</v>
      </c>
      <c r="B1213" t="s">
        <v>588</v>
      </c>
      <c r="C1213" s="20">
        <v>6.5561634438341256</v>
      </c>
      <c r="D1213" t="s">
        <v>13</v>
      </c>
      <c r="G1213" t="s">
        <v>96</v>
      </c>
      <c r="H1213" t="s">
        <v>12</v>
      </c>
    </row>
    <row r="1214" spans="1:9">
      <c r="A1214" t="s">
        <v>589</v>
      </c>
      <c r="B1214" t="s">
        <v>590</v>
      </c>
      <c r="C1214" s="20">
        <v>6.5561634438341256</v>
      </c>
      <c r="D1214" t="s">
        <v>13</v>
      </c>
      <c r="G1214" t="s">
        <v>96</v>
      </c>
      <c r="H1214" t="s">
        <v>12</v>
      </c>
    </row>
    <row r="1215" spans="1:9">
      <c r="A1215" t="s">
        <v>591</v>
      </c>
      <c r="B1215" t="s">
        <v>592</v>
      </c>
      <c r="C1215" s="20">
        <v>6.5561634438341256</v>
      </c>
      <c r="D1215" t="s">
        <v>13</v>
      </c>
      <c r="G1215" t="s">
        <v>96</v>
      </c>
      <c r="H1215" t="s">
        <v>12</v>
      </c>
    </row>
    <row r="1216" spans="1:9">
      <c r="A1216" t="s">
        <v>593</v>
      </c>
      <c r="B1216" t="s">
        <v>594</v>
      </c>
      <c r="C1216" s="20">
        <v>6.5561634438341256</v>
      </c>
      <c r="D1216" t="s">
        <v>13</v>
      </c>
      <c r="G1216" t="s">
        <v>96</v>
      </c>
      <c r="H1216" t="s">
        <v>12</v>
      </c>
    </row>
    <row r="1217" spans="1:8">
      <c r="A1217" t="s">
        <v>595</v>
      </c>
      <c r="B1217" t="s">
        <v>596</v>
      </c>
      <c r="C1217" s="20">
        <v>6.5561634438341256</v>
      </c>
      <c r="D1217" t="s">
        <v>13</v>
      </c>
      <c r="G1217" t="s">
        <v>96</v>
      </c>
      <c r="H1217" t="s">
        <v>12</v>
      </c>
    </row>
    <row r="1218" spans="1:8">
      <c r="A1218" t="s">
        <v>597</v>
      </c>
      <c r="B1218" t="s">
        <v>598</v>
      </c>
      <c r="C1218" s="20">
        <v>6.5561634438341256</v>
      </c>
      <c r="D1218" t="s">
        <v>13</v>
      </c>
      <c r="G1218" t="s">
        <v>96</v>
      </c>
      <c r="H1218" t="s">
        <v>12</v>
      </c>
    </row>
    <row r="1219" spans="1:8">
      <c r="A1219" t="s">
        <v>599</v>
      </c>
      <c r="B1219" t="s">
        <v>600</v>
      </c>
      <c r="C1219" s="20">
        <v>6.5561634438341256</v>
      </c>
      <c r="D1219" t="s">
        <v>13</v>
      </c>
      <c r="G1219" t="s">
        <v>96</v>
      </c>
      <c r="H1219" t="s">
        <v>12</v>
      </c>
    </row>
    <row r="1220" spans="1:8">
      <c r="A1220" t="s">
        <v>601</v>
      </c>
      <c r="B1220" t="s">
        <v>602</v>
      </c>
      <c r="C1220" s="20">
        <v>6.5561634438341256</v>
      </c>
      <c r="D1220" t="s">
        <v>13</v>
      </c>
      <c r="G1220" t="s">
        <v>96</v>
      </c>
      <c r="H1220" t="s">
        <v>12</v>
      </c>
    </row>
    <row r="1221" spans="1:8">
      <c r="A1221" t="s">
        <v>603</v>
      </c>
      <c r="B1221" t="s">
        <v>604</v>
      </c>
      <c r="C1221" s="20">
        <v>6.5561634438341256</v>
      </c>
      <c r="D1221" t="s">
        <v>13</v>
      </c>
      <c r="G1221" t="s">
        <v>96</v>
      </c>
      <c r="H1221" t="s">
        <v>12</v>
      </c>
    </row>
    <row r="1222" spans="1:8">
      <c r="A1222" t="s">
        <v>605</v>
      </c>
      <c r="B1222" t="s">
        <v>606</v>
      </c>
      <c r="C1222" s="20">
        <v>6.5561634438341256</v>
      </c>
      <c r="D1222" t="s">
        <v>13</v>
      </c>
      <c r="G1222" t="s">
        <v>134</v>
      </c>
      <c r="H1222" t="s">
        <v>12</v>
      </c>
    </row>
    <row r="1223" spans="1:8">
      <c r="A1223" t="s">
        <v>607</v>
      </c>
      <c r="B1223" t="s">
        <v>608</v>
      </c>
      <c r="C1223" s="20">
        <v>6.5561634438341256</v>
      </c>
      <c r="D1223" t="s">
        <v>13</v>
      </c>
      <c r="G1223" t="s">
        <v>96</v>
      </c>
      <c r="H1223" t="s">
        <v>12</v>
      </c>
    </row>
    <row r="1224" spans="1:8">
      <c r="A1224" t="s">
        <v>609</v>
      </c>
      <c r="B1224" t="s">
        <v>610</v>
      </c>
      <c r="C1224" s="20">
        <v>6.5561634438341256</v>
      </c>
      <c r="D1224" t="s">
        <v>13</v>
      </c>
      <c r="G1224" t="s">
        <v>96</v>
      </c>
      <c r="H1224" t="s">
        <v>12</v>
      </c>
    </row>
    <row r="1225" spans="1:8">
      <c r="A1225" t="s">
        <v>611</v>
      </c>
      <c r="B1225" t="s">
        <v>612</v>
      </c>
      <c r="C1225" s="20">
        <v>6.5561634438341256</v>
      </c>
      <c r="D1225" t="s">
        <v>13</v>
      </c>
      <c r="G1225" t="s">
        <v>96</v>
      </c>
      <c r="H1225" t="s">
        <v>12</v>
      </c>
    </row>
    <row r="1226" spans="1:8">
      <c r="A1226" t="s">
        <v>613</v>
      </c>
      <c r="B1226" t="s">
        <v>614</v>
      </c>
      <c r="C1226" s="20">
        <v>6.5561634438341256</v>
      </c>
      <c r="D1226" t="s">
        <v>13</v>
      </c>
      <c r="G1226" t="s">
        <v>96</v>
      </c>
      <c r="H1226" t="s">
        <v>12</v>
      </c>
    </row>
    <row r="1227" spans="1:8">
      <c r="A1227" t="s">
        <v>615</v>
      </c>
      <c r="B1227" t="s">
        <v>616</v>
      </c>
      <c r="C1227" s="20">
        <v>6.5561634438341256</v>
      </c>
      <c r="D1227" t="s">
        <v>13</v>
      </c>
      <c r="G1227" t="s">
        <v>96</v>
      </c>
      <c r="H1227" t="s">
        <v>12</v>
      </c>
    </row>
    <row r="1228" spans="1:8">
      <c r="A1228" t="s">
        <v>617</v>
      </c>
      <c r="B1228" t="s">
        <v>618</v>
      </c>
      <c r="C1228" s="20">
        <v>6.5561634438341256</v>
      </c>
      <c r="D1228" t="s">
        <v>13</v>
      </c>
      <c r="G1228" t="s">
        <v>96</v>
      </c>
      <c r="H1228" t="s">
        <v>12</v>
      </c>
    </row>
    <row r="1229" spans="1:8">
      <c r="A1229" t="s">
        <v>619</v>
      </c>
      <c r="B1229" t="s">
        <v>620</v>
      </c>
      <c r="C1229" s="20">
        <v>6.5561634438341256</v>
      </c>
      <c r="D1229" t="s">
        <v>13</v>
      </c>
      <c r="G1229" t="s">
        <v>96</v>
      </c>
      <c r="H1229" t="s">
        <v>12</v>
      </c>
    </row>
    <row r="1230" spans="1:8">
      <c r="A1230" t="s">
        <v>621</v>
      </c>
      <c r="B1230" t="s">
        <v>622</v>
      </c>
      <c r="C1230" s="20">
        <v>6.5561634438341256</v>
      </c>
      <c r="D1230" t="s">
        <v>13</v>
      </c>
      <c r="G1230" t="s">
        <v>96</v>
      </c>
      <c r="H1230" t="s">
        <v>12</v>
      </c>
    </row>
    <row r="1231" spans="1:8">
      <c r="A1231" t="s">
        <v>623</v>
      </c>
      <c r="B1231" t="s">
        <v>624</v>
      </c>
      <c r="C1231" s="20">
        <v>6.5561634438341256</v>
      </c>
      <c r="D1231" t="s">
        <v>13</v>
      </c>
      <c r="G1231" t="s">
        <v>96</v>
      </c>
      <c r="H1231" t="s">
        <v>12</v>
      </c>
    </row>
    <row r="1232" spans="1:8">
      <c r="A1232" t="s">
        <v>625</v>
      </c>
      <c r="B1232" t="s">
        <v>626</v>
      </c>
      <c r="C1232" s="20">
        <v>6.5561634438341256</v>
      </c>
      <c r="D1232" t="s">
        <v>13</v>
      </c>
      <c r="G1232" t="s">
        <v>96</v>
      </c>
      <c r="H1232" t="s">
        <v>12</v>
      </c>
    </row>
    <row r="1233" spans="1:8">
      <c r="A1233" t="s">
        <v>627</v>
      </c>
      <c r="B1233" t="s">
        <v>628</v>
      </c>
      <c r="C1233" s="20">
        <v>10.397559416101323</v>
      </c>
      <c r="D1233" t="s">
        <v>13</v>
      </c>
      <c r="G1233" t="s">
        <v>96</v>
      </c>
      <c r="H1233" t="s">
        <v>12</v>
      </c>
    </row>
    <row r="1234" spans="1:8">
      <c r="A1234" t="s">
        <v>629</v>
      </c>
      <c r="B1234" t="s">
        <v>630</v>
      </c>
      <c r="C1234" s="20">
        <v>10.397559416101323</v>
      </c>
      <c r="D1234" t="s">
        <v>13</v>
      </c>
      <c r="G1234" t="s">
        <v>96</v>
      </c>
      <c r="H1234" t="s">
        <v>12</v>
      </c>
    </row>
    <row r="1235" spans="1:8">
      <c r="A1235" t="s">
        <v>631</v>
      </c>
      <c r="B1235" t="s">
        <v>632</v>
      </c>
      <c r="C1235" s="20">
        <v>10.397559416101323</v>
      </c>
      <c r="D1235" t="s">
        <v>13</v>
      </c>
      <c r="G1235" t="s">
        <v>96</v>
      </c>
      <c r="H1235" t="s">
        <v>12</v>
      </c>
    </row>
    <row r="1236" spans="1:8">
      <c r="A1236" t="s">
        <v>633</v>
      </c>
      <c r="B1236" t="s">
        <v>634</v>
      </c>
      <c r="C1236" s="20">
        <v>10.397559416101323</v>
      </c>
      <c r="D1236" t="s">
        <v>13</v>
      </c>
      <c r="G1236" t="s">
        <v>96</v>
      </c>
      <c r="H1236" t="s">
        <v>12</v>
      </c>
    </row>
    <row r="1237" spans="1:8">
      <c r="A1237" t="s">
        <v>635</v>
      </c>
      <c r="B1237" t="s">
        <v>636</v>
      </c>
      <c r="C1237" s="20">
        <v>10.397559416101323</v>
      </c>
      <c r="D1237" t="s">
        <v>13</v>
      </c>
      <c r="G1237" t="s">
        <v>96</v>
      </c>
      <c r="H1237" t="s">
        <v>12</v>
      </c>
    </row>
    <row r="1238" spans="1:8">
      <c r="A1238" t="s">
        <v>637</v>
      </c>
      <c r="B1238" t="s">
        <v>638</v>
      </c>
      <c r="C1238" s="20">
        <v>10.397559416101323</v>
      </c>
      <c r="D1238" t="s">
        <v>13</v>
      </c>
      <c r="G1238" t="s">
        <v>96</v>
      </c>
      <c r="H1238" t="s">
        <v>12</v>
      </c>
    </row>
    <row r="1239" spans="1:8">
      <c r="A1239" t="s">
        <v>639</v>
      </c>
      <c r="B1239" t="s">
        <v>640</v>
      </c>
      <c r="C1239" s="20">
        <v>10.397559416101323</v>
      </c>
      <c r="D1239" t="s">
        <v>13</v>
      </c>
      <c r="G1239" t="s">
        <v>96</v>
      </c>
      <c r="H1239" t="s">
        <v>12</v>
      </c>
    </row>
    <row r="1240" spans="1:8">
      <c r="A1240" t="s">
        <v>641</v>
      </c>
      <c r="B1240" t="s">
        <v>642</v>
      </c>
      <c r="C1240" s="20">
        <v>10.397559416101323</v>
      </c>
      <c r="D1240" t="s">
        <v>13</v>
      </c>
      <c r="G1240" t="s">
        <v>96</v>
      </c>
      <c r="H1240" t="s">
        <v>12</v>
      </c>
    </row>
    <row r="1241" spans="1:8">
      <c r="A1241" t="s">
        <v>643</v>
      </c>
      <c r="B1241" t="s">
        <v>644</v>
      </c>
      <c r="C1241" s="20">
        <v>10.397559416101323</v>
      </c>
      <c r="D1241" t="s">
        <v>13</v>
      </c>
      <c r="G1241" t="s">
        <v>96</v>
      </c>
      <c r="H1241" t="s">
        <v>12</v>
      </c>
    </row>
    <row r="1242" spans="1:8">
      <c r="A1242" t="s">
        <v>645</v>
      </c>
      <c r="B1242" t="s">
        <v>646</v>
      </c>
      <c r="C1242" s="20">
        <v>10.397559416101323</v>
      </c>
      <c r="D1242" t="s">
        <v>13</v>
      </c>
      <c r="G1242" t="s">
        <v>96</v>
      </c>
      <c r="H1242" t="s">
        <v>12</v>
      </c>
    </row>
    <row r="1243" spans="1:8">
      <c r="A1243" t="s">
        <v>647</v>
      </c>
      <c r="B1243" t="s">
        <v>648</v>
      </c>
      <c r="C1243" s="20">
        <v>10.397559416101323</v>
      </c>
      <c r="D1243" t="s">
        <v>13</v>
      </c>
      <c r="G1243" t="s">
        <v>96</v>
      </c>
      <c r="H1243" t="s">
        <v>12</v>
      </c>
    </row>
    <row r="1244" spans="1:8">
      <c r="A1244" t="s">
        <v>649</v>
      </c>
      <c r="B1244" t="s">
        <v>650</v>
      </c>
      <c r="C1244" s="20">
        <v>10.397559416101323</v>
      </c>
      <c r="D1244" t="s">
        <v>13</v>
      </c>
      <c r="G1244" t="s">
        <v>96</v>
      </c>
      <c r="H1244" t="s">
        <v>12</v>
      </c>
    </row>
    <row r="1245" spans="1:8">
      <c r="A1245" t="s">
        <v>651</v>
      </c>
      <c r="B1245" t="s">
        <v>652</v>
      </c>
      <c r="C1245" s="20">
        <v>10.397559416101323</v>
      </c>
      <c r="D1245" t="s">
        <v>13</v>
      </c>
      <c r="G1245" t="s">
        <v>96</v>
      </c>
      <c r="H1245" t="s">
        <v>12</v>
      </c>
    </row>
    <row r="1246" spans="1:8">
      <c r="A1246" t="s">
        <v>653</v>
      </c>
      <c r="B1246" t="s">
        <v>654</v>
      </c>
      <c r="C1246" s="20">
        <v>10.397559416101323</v>
      </c>
      <c r="D1246" t="s">
        <v>13</v>
      </c>
      <c r="G1246" t="s">
        <v>96</v>
      </c>
      <c r="H1246" t="s">
        <v>12</v>
      </c>
    </row>
    <row r="1247" spans="1:8">
      <c r="A1247" t="s">
        <v>655</v>
      </c>
      <c r="B1247" t="s">
        <v>656</v>
      </c>
      <c r="C1247" s="20">
        <v>1.3682428056697304</v>
      </c>
      <c r="D1247" t="s">
        <v>13</v>
      </c>
      <c r="G1247" t="s">
        <v>96</v>
      </c>
      <c r="H1247" t="s">
        <v>12</v>
      </c>
    </row>
    <row r="1248" spans="1:8">
      <c r="A1248" t="s">
        <v>657</v>
      </c>
      <c r="B1248" t="s">
        <v>658</v>
      </c>
      <c r="C1248" s="20">
        <v>1.3682428056697304</v>
      </c>
      <c r="D1248" t="s">
        <v>13</v>
      </c>
      <c r="G1248" t="s">
        <v>96</v>
      </c>
      <c r="H1248" t="s">
        <v>12</v>
      </c>
    </row>
    <row r="1249" spans="1:9">
      <c r="A1249" t="s">
        <v>659</v>
      </c>
      <c r="B1249" t="s">
        <v>660</v>
      </c>
      <c r="C1249" s="20">
        <v>1.3682428056697304</v>
      </c>
      <c r="D1249" t="s">
        <v>13</v>
      </c>
      <c r="G1249" t="s">
        <v>96</v>
      </c>
      <c r="H1249" t="s">
        <v>12</v>
      </c>
    </row>
    <row r="1250" spans="1:9">
      <c r="A1250" t="s">
        <v>661</v>
      </c>
      <c r="B1250" t="s">
        <v>662</v>
      </c>
      <c r="C1250" s="20">
        <v>1.3682428056697304</v>
      </c>
      <c r="D1250" t="s">
        <v>13</v>
      </c>
      <c r="G1250" t="s">
        <v>96</v>
      </c>
      <c r="H1250" t="s">
        <v>12</v>
      </c>
    </row>
    <row r="1251" spans="1:9">
      <c r="A1251" t="s">
        <v>663</v>
      </c>
      <c r="B1251" t="s">
        <v>664</v>
      </c>
      <c r="C1251" s="20">
        <v>1.3682428056697304</v>
      </c>
      <c r="D1251" t="s">
        <v>13</v>
      </c>
      <c r="G1251" t="s">
        <v>96</v>
      </c>
      <c r="H1251" t="s">
        <v>12</v>
      </c>
    </row>
    <row r="1252" spans="1:9">
      <c r="A1252" t="s">
        <v>665</v>
      </c>
      <c r="B1252" t="s">
        <v>666</v>
      </c>
      <c r="C1252" s="20">
        <v>12.668914867312317</v>
      </c>
      <c r="D1252" t="s">
        <v>13</v>
      </c>
      <c r="G1252" t="s">
        <v>96</v>
      </c>
      <c r="H1252" t="s">
        <v>12</v>
      </c>
    </row>
    <row r="1253" spans="1:9">
      <c r="A1253" t="s">
        <v>667</v>
      </c>
      <c r="B1253" t="s">
        <v>668</v>
      </c>
      <c r="C1253" s="20">
        <v>12.668914867312317</v>
      </c>
      <c r="D1253" t="s">
        <v>13</v>
      </c>
      <c r="G1253" t="s">
        <v>134</v>
      </c>
      <c r="H1253" t="s">
        <v>12</v>
      </c>
    </row>
    <row r="1254" spans="1:9">
      <c r="A1254" t="s">
        <v>669</v>
      </c>
      <c r="B1254" t="s">
        <v>670</v>
      </c>
      <c r="C1254" s="20">
        <v>12.668914867312317</v>
      </c>
      <c r="D1254" t="s">
        <v>13</v>
      </c>
      <c r="G1254" t="s">
        <v>96</v>
      </c>
      <c r="H1254" t="s">
        <v>12</v>
      </c>
    </row>
    <row r="1255" spans="1:9">
      <c r="A1255" t="s">
        <v>671</v>
      </c>
      <c r="B1255" t="s">
        <v>258</v>
      </c>
      <c r="C1255" s="20">
        <v>12.668914867312317</v>
      </c>
      <c r="D1255" t="s">
        <v>13</v>
      </c>
      <c r="G1255" t="s">
        <v>96</v>
      </c>
      <c r="H1255" t="s">
        <v>12</v>
      </c>
    </row>
    <row r="1256" spans="1:9">
      <c r="A1256" t="s">
        <v>672</v>
      </c>
      <c r="B1256" t="s">
        <v>673</v>
      </c>
      <c r="C1256" s="20">
        <v>12.668914867312317</v>
      </c>
      <c r="D1256" t="s">
        <v>13</v>
      </c>
      <c r="G1256" t="s">
        <v>134</v>
      </c>
      <c r="H1256" t="s">
        <v>12</v>
      </c>
    </row>
    <row r="1257" spans="1:9">
      <c r="A1257" t="s">
        <v>674</v>
      </c>
      <c r="B1257" t="s">
        <v>264</v>
      </c>
      <c r="C1257" s="20">
        <v>12.668914867312317</v>
      </c>
      <c r="D1257" t="s">
        <v>13</v>
      </c>
      <c r="G1257" t="s">
        <v>96</v>
      </c>
      <c r="H1257" t="s">
        <v>12</v>
      </c>
    </row>
    <row r="1258" spans="1:9">
      <c r="A1258" t="s">
        <v>675</v>
      </c>
      <c r="B1258" t="s">
        <v>676</v>
      </c>
      <c r="C1258" s="20">
        <v>7.6013489203873918</v>
      </c>
      <c r="D1258" t="s">
        <v>13</v>
      </c>
      <c r="G1258" t="s">
        <v>96</v>
      </c>
      <c r="H1258" t="s">
        <v>12</v>
      </c>
    </row>
    <row r="1259" spans="1:9">
      <c r="A1259" t="s">
        <v>677</v>
      </c>
      <c r="B1259" t="s">
        <v>678</v>
      </c>
      <c r="C1259" s="20">
        <v>9.5016861504842378</v>
      </c>
      <c r="D1259" t="s">
        <v>705</v>
      </c>
      <c r="G1259" t="s">
        <v>96</v>
      </c>
      <c r="H1259" t="s">
        <v>12</v>
      </c>
    </row>
    <row r="1260" spans="1:9">
      <c r="A1260" t="s">
        <v>679</v>
      </c>
      <c r="B1260" t="s">
        <v>680</v>
      </c>
      <c r="C1260" s="20">
        <v>1.1402023380581086</v>
      </c>
      <c r="D1260" t="s">
        <v>13</v>
      </c>
      <c r="G1260" t="s">
        <v>96</v>
      </c>
      <c r="H1260" t="s">
        <v>12</v>
      </c>
    </row>
    <row r="1261" spans="1:9">
      <c r="A1261" t="s">
        <v>681</v>
      </c>
      <c r="B1261" t="s">
        <v>682</v>
      </c>
      <c r="C1261" s="20">
        <v>1.900337230096848</v>
      </c>
      <c r="D1261" t="s">
        <v>13</v>
      </c>
      <c r="G1261" t="s">
        <v>96</v>
      </c>
      <c r="H1261" t="s">
        <v>12</v>
      </c>
    </row>
    <row r="1262" spans="1:9">
      <c r="A1262" t="s">
        <v>683</v>
      </c>
      <c r="B1262" t="s">
        <v>684</v>
      </c>
      <c r="C1262" s="20">
        <v>1.900337230096848</v>
      </c>
      <c r="D1262" t="s">
        <v>13</v>
      </c>
      <c r="G1262" t="s">
        <v>96</v>
      </c>
      <c r="H1262" t="s">
        <v>12</v>
      </c>
    </row>
    <row r="1263" spans="1:9">
      <c r="A1263" s="49"/>
      <c r="B1263" s="50"/>
      <c r="C1263" s="49"/>
      <c r="D1263" s="49"/>
      <c r="E1263" s="49"/>
      <c r="F1263" s="49"/>
      <c r="G1263" s="49"/>
      <c r="H1263" s="49"/>
      <c r="I1263" s="49"/>
    </row>
    <row r="1264" spans="1:9" ht="15.6">
      <c r="A1264" s="18" t="s">
        <v>1</v>
      </c>
      <c r="B1264" s="23" t="s">
        <v>538</v>
      </c>
    </row>
    <row r="1265" spans="1:9">
      <c r="A1265" s="24" t="s">
        <v>2</v>
      </c>
      <c r="B1265" s="13" t="s">
        <v>28</v>
      </c>
      <c r="H1265" s="55"/>
    </row>
    <row r="1266" spans="1:9">
      <c r="A1266" s="24" t="s">
        <v>3</v>
      </c>
      <c r="B1266" s="13">
        <v>1</v>
      </c>
      <c r="F1266" s="13"/>
      <c r="H1266" s="13"/>
    </row>
    <row r="1267" spans="1:9">
      <c r="A1267" s="24" t="s">
        <v>4</v>
      </c>
      <c r="B1267" s="13" t="s">
        <v>539</v>
      </c>
      <c r="D1267" s="63"/>
      <c r="F1267" s="13"/>
    </row>
    <row r="1268" spans="1:9">
      <c r="A1268" s="24" t="s">
        <v>5</v>
      </c>
      <c r="B1268" s="13" t="s">
        <v>59</v>
      </c>
      <c r="D1268" s="63"/>
      <c r="F1268" s="20"/>
    </row>
    <row r="1269" spans="1:9">
      <c r="A1269" s="24" t="s">
        <v>6</v>
      </c>
      <c r="B1269" s="13" t="s">
        <v>6</v>
      </c>
    </row>
    <row r="1270" spans="1:9">
      <c r="A1270" s="24" t="s">
        <v>57</v>
      </c>
    </row>
    <row r="1271" spans="1:9" ht="15.6">
      <c r="A1271" s="18" t="s">
        <v>7</v>
      </c>
      <c r="C1271" s="25"/>
      <c r="D1271" s="26"/>
      <c r="E1271" s="26"/>
      <c r="F1271" s="26"/>
      <c r="G1271" s="26"/>
      <c r="H1271" s="26"/>
      <c r="I1271" s="26"/>
    </row>
    <row r="1272" spans="1:9">
      <c r="A1272" s="24" t="s">
        <v>8</v>
      </c>
      <c r="B1272" s="23" t="s">
        <v>4</v>
      </c>
      <c r="C1272" s="30" t="s">
        <v>9</v>
      </c>
      <c r="D1272" s="24" t="s">
        <v>6</v>
      </c>
      <c r="E1272" s="24" t="s">
        <v>81</v>
      </c>
      <c r="F1272" s="24" t="s">
        <v>10</v>
      </c>
      <c r="G1272" s="24" t="s">
        <v>2</v>
      </c>
      <c r="H1272" s="24" t="s">
        <v>5</v>
      </c>
      <c r="I1272" s="24" t="s">
        <v>11</v>
      </c>
    </row>
    <row r="1273" spans="1:9">
      <c r="A1273" s="13" t="s">
        <v>538</v>
      </c>
      <c r="B1273" s="13" t="s">
        <v>539</v>
      </c>
      <c r="C1273">
        <v>1</v>
      </c>
      <c r="D1273" t="s">
        <v>6</v>
      </c>
      <c r="G1273" t="s">
        <v>28</v>
      </c>
      <c r="H1273" t="s">
        <v>18</v>
      </c>
    </row>
    <row r="1274" spans="1:9">
      <c r="A1274" t="s">
        <v>27</v>
      </c>
      <c r="B1274" s="13" t="s">
        <v>20</v>
      </c>
      <c r="C1274" s="41">
        <v>55.813953488372093</v>
      </c>
      <c r="D1274" t="s">
        <v>19</v>
      </c>
      <c r="G1274" t="s">
        <v>28</v>
      </c>
      <c r="H1274" t="s">
        <v>12</v>
      </c>
    </row>
    <row r="1275" spans="1:9">
      <c r="A1275" t="s">
        <v>542</v>
      </c>
      <c r="B1275" s="13" t="s">
        <v>543</v>
      </c>
      <c r="C1275" s="41">
        <v>35.986593406593407</v>
      </c>
      <c r="D1275" t="s">
        <v>13</v>
      </c>
      <c r="G1275" t="s">
        <v>134</v>
      </c>
      <c r="H1275" t="s">
        <v>12</v>
      </c>
      <c r="I1275" t="s">
        <v>546</v>
      </c>
    </row>
    <row r="1276" spans="1:9">
      <c r="A1276" t="s">
        <v>540</v>
      </c>
      <c r="B1276" t="s">
        <v>541</v>
      </c>
      <c r="C1276" s="41">
        <v>3.1007751937984399E-2</v>
      </c>
      <c r="D1276" t="s">
        <v>6</v>
      </c>
      <c r="G1276" t="s">
        <v>96</v>
      </c>
      <c r="H1276" t="s">
        <v>12</v>
      </c>
    </row>
    <row r="1277" spans="1:9">
      <c r="A1277" t="s">
        <v>544</v>
      </c>
      <c r="B1277" t="s">
        <v>545</v>
      </c>
      <c r="C1277" s="41">
        <v>4.6511627906976744E-2</v>
      </c>
      <c r="D1277" t="s">
        <v>6</v>
      </c>
      <c r="G1277" t="s">
        <v>96</v>
      </c>
      <c r="H1277" t="s">
        <v>12</v>
      </c>
    </row>
    <row r="1278" spans="1:9">
      <c r="A1278" t="s">
        <v>687</v>
      </c>
      <c r="B1278" s="13" t="s">
        <v>572</v>
      </c>
      <c r="C1278" s="41">
        <v>1</v>
      </c>
      <c r="D1278" t="s">
        <v>6</v>
      </c>
      <c r="G1278" t="s">
        <v>28</v>
      </c>
      <c r="H1278" t="s">
        <v>12</v>
      </c>
      <c r="I1278" t="s">
        <v>686</v>
      </c>
    </row>
    <row r="1279" spans="1:9">
      <c r="A1279" t="s">
        <v>32</v>
      </c>
      <c r="C1279" s="20">
        <f>3.085*$C$1275</f>
        <v>111.01864065934066</v>
      </c>
      <c r="D1279" t="s">
        <v>13</v>
      </c>
      <c r="E1279" t="s">
        <v>83</v>
      </c>
      <c r="F1279" t="s">
        <v>174</v>
      </c>
      <c r="H1279" t="s">
        <v>15</v>
      </c>
      <c r="I1279" t="s">
        <v>547</v>
      </c>
    </row>
    <row r="1280" spans="1:9">
      <c r="A1280" s="31" t="s">
        <v>478</v>
      </c>
      <c r="B1280" s="31"/>
      <c r="C1280" s="62">
        <f>0.0149*$C$1275</f>
        <v>0.53620024175824177</v>
      </c>
      <c r="D1280" s="26" t="s">
        <v>13</v>
      </c>
      <c r="E1280" s="26" t="s">
        <v>83</v>
      </c>
      <c r="F1280" s="31" t="s">
        <v>109</v>
      </c>
      <c r="G1280" s="31"/>
      <c r="H1280" s="26" t="s">
        <v>15</v>
      </c>
      <c r="I1280" t="s">
        <v>547</v>
      </c>
    </row>
    <row r="1281" spans="1:9">
      <c r="A1281" t="s">
        <v>86</v>
      </c>
      <c r="C1281" s="63">
        <f>0.000074*$C$1275</f>
        <v>2.6630079120879119E-3</v>
      </c>
      <c r="D1281" t="s">
        <v>13</v>
      </c>
      <c r="E1281" t="s">
        <v>83</v>
      </c>
      <c r="F1281" t="s">
        <v>174</v>
      </c>
      <c r="H1281" t="s">
        <v>15</v>
      </c>
      <c r="I1281" t="s">
        <v>547</v>
      </c>
    </row>
    <row r="1282" spans="1:9">
      <c r="A1282" t="s">
        <v>87</v>
      </c>
      <c r="C1282" s="20">
        <f>(0.98+0.78)/1000*$C$1275</f>
        <v>6.3336404395604395E-2</v>
      </c>
      <c r="D1282" t="s">
        <v>13</v>
      </c>
      <c r="E1282" t="s">
        <v>83</v>
      </c>
      <c r="F1282" t="s">
        <v>174</v>
      </c>
      <c r="H1282" t="s">
        <v>15</v>
      </c>
      <c r="I1282" t="s">
        <v>547</v>
      </c>
    </row>
    <row r="1283" spans="1:9">
      <c r="A1283" s="31" t="s">
        <v>142</v>
      </c>
      <c r="B1283" s="31"/>
      <c r="C1283" s="20">
        <f>0.01059*$C$1275</f>
        <v>0.38109802417582422</v>
      </c>
      <c r="D1283" s="26" t="s">
        <v>13</v>
      </c>
      <c r="E1283" s="26" t="s">
        <v>83</v>
      </c>
      <c r="F1283" s="31" t="s">
        <v>109</v>
      </c>
      <c r="G1283" s="31"/>
      <c r="H1283" s="26" t="s">
        <v>15</v>
      </c>
      <c r="I1283" t="s">
        <v>547</v>
      </c>
    </row>
    <row r="1284" spans="1:9">
      <c r="A1284" t="s">
        <v>85</v>
      </c>
      <c r="C1284" s="63">
        <f>0.000015*$C$1275</f>
        <v>5.3979890109890109E-4</v>
      </c>
      <c r="D1284" t="s">
        <v>13</v>
      </c>
      <c r="E1284" t="s">
        <v>83</v>
      </c>
      <c r="F1284" t="s">
        <v>174</v>
      </c>
      <c r="H1284" t="s">
        <v>15</v>
      </c>
      <c r="I1284" t="s">
        <v>547</v>
      </c>
    </row>
    <row r="1285" spans="1:9">
      <c r="A1285" t="s">
        <v>528</v>
      </c>
      <c r="C1285" s="63">
        <f>(0.00032+0.00001)*$C$1275</f>
        <v>1.1875575824175826E-2</v>
      </c>
      <c r="D1285" t="s">
        <v>13</v>
      </c>
      <c r="E1285" t="s">
        <v>83</v>
      </c>
      <c r="F1285" t="s">
        <v>174</v>
      </c>
      <c r="H1285" t="s">
        <v>15</v>
      </c>
      <c r="I1285" t="s">
        <v>547</v>
      </c>
    </row>
    <row r="1286" spans="1:9">
      <c r="A1286" t="s">
        <v>548</v>
      </c>
      <c r="C1286" s="63">
        <f>0.00002*$C$1275</f>
        <v>7.1973186813186819E-4</v>
      </c>
      <c r="D1286" t="s">
        <v>13</v>
      </c>
      <c r="E1286" t="s">
        <v>83</v>
      </c>
      <c r="F1286" t="s">
        <v>174</v>
      </c>
      <c r="H1286" t="s">
        <v>15</v>
      </c>
      <c r="I1286" t="s">
        <v>547</v>
      </c>
    </row>
    <row r="1287" spans="1:9">
      <c r="A1287" t="s">
        <v>89</v>
      </c>
      <c r="C1287" s="63">
        <f>0.00212*$C$1275</f>
        <v>7.6291578021978015E-2</v>
      </c>
      <c r="D1287" t="s">
        <v>13</v>
      </c>
      <c r="E1287" t="s">
        <v>83</v>
      </c>
      <c r="F1287" t="s">
        <v>174</v>
      </c>
      <c r="H1287" t="s">
        <v>15</v>
      </c>
      <c r="I1287" t="s">
        <v>547</v>
      </c>
    </row>
    <row r="1288" spans="1:9">
      <c r="A1288" s="49"/>
      <c r="B1288" s="50"/>
      <c r="C1288" s="49"/>
      <c r="D1288" s="49"/>
      <c r="E1288" s="49"/>
      <c r="F1288" s="49"/>
      <c r="G1288" s="49"/>
      <c r="H1288" s="49"/>
      <c r="I1288" s="49"/>
    </row>
    <row r="1289" spans="1:9" ht="15.6">
      <c r="A1289" s="18" t="s">
        <v>1</v>
      </c>
      <c r="B1289" s="23" t="s">
        <v>549</v>
      </c>
    </row>
    <row r="1290" spans="1:9">
      <c r="A1290" s="24" t="s">
        <v>2</v>
      </c>
      <c r="B1290" s="13" t="s">
        <v>28</v>
      </c>
      <c r="H1290" s="55"/>
    </row>
    <row r="1291" spans="1:9">
      <c r="A1291" s="24" t="s">
        <v>3</v>
      </c>
      <c r="B1291" s="13">
        <v>1</v>
      </c>
      <c r="F1291" s="13"/>
      <c r="H1291" s="13"/>
    </row>
    <row r="1292" spans="1:9">
      <c r="A1292" s="24" t="s">
        <v>4</v>
      </c>
      <c r="B1292" s="13" t="s">
        <v>550</v>
      </c>
      <c r="F1292" s="13"/>
    </row>
    <row r="1293" spans="1:9">
      <c r="A1293" s="24" t="s">
        <v>5</v>
      </c>
      <c r="B1293" s="13" t="s">
        <v>59</v>
      </c>
      <c r="F1293" s="20"/>
    </row>
    <row r="1294" spans="1:9">
      <c r="A1294" s="24" t="s">
        <v>6</v>
      </c>
      <c r="B1294" s="13" t="s">
        <v>6</v>
      </c>
    </row>
    <row r="1295" spans="1:9">
      <c r="A1295" s="24" t="s">
        <v>57</v>
      </c>
    </row>
    <row r="1296" spans="1:9" ht="15.6">
      <c r="A1296" s="18" t="s">
        <v>7</v>
      </c>
      <c r="C1296" s="25"/>
      <c r="D1296" s="26"/>
      <c r="E1296" s="26"/>
      <c r="F1296" s="26"/>
      <c r="G1296" s="26"/>
      <c r="H1296" s="26"/>
      <c r="I1296" s="26"/>
    </row>
    <row r="1297" spans="1:9">
      <c r="A1297" s="24" t="s">
        <v>8</v>
      </c>
      <c r="B1297" s="23" t="s">
        <v>4</v>
      </c>
      <c r="C1297" s="30" t="s">
        <v>9</v>
      </c>
      <c r="D1297" s="24" t="s">
        <v>6</v>
      </c>
      <c r="E1297" s="24" t="s">
        <v>81</v>
      </c>
      <c r="F1297" s="24" t="s">
        <v>10</v>
      </c>
      <c r="G1297" s="24" t="s">
        <v>2</v>
      </c>
      <c r="H1297" s="24" t="s">
        <v>5</v>
      </c>
      <c r="I1297" s="24" t="s">
        <v>11</v>
      </c>
    </row>
    <row r="1298" spans="1:9">
      <c r="A1298" s="13" t="s">
        <v>549</v>
      </c>
      <c r="B1298" s="13" t="s">
        <v>550</v>
      </c>
      <c r="C1298">
        <v>1</v>
      </c>
      <c r="D1298" t="s">
        <v>6</v>
      </c>
      <c r="G1298" t="s">
        <v>28</v>
      </c>
      <c r="H1298" t="s">
        <v>18</v>
      </c>
    </row>
    <row r="1299" spans="1:9">
      <c r="A1299" t="s">
        <v>27</v>
      </c>
      <c r="B1299" s="13" t="s">
        <v>20</v>
      </c>
      <c r="C1299" s="41">
        <v>55.813953488372093</v>
      </c>
      <c r="D1299" t="s">
        <v>19</v>
      </c>
      <c r="G1299" t="s">
        <v>28</v>
      </c>
      <c r="H1299" t="s">
        <v>12</v>
      </c>
    </row>
    <row r="1300" spans="1:9">
      <c r="A1300" t="s">
        <v>552</v>
      </c>
      <c r="B1300" s="13" t="s">
        <v>551</v>
      </c>
      <c r="C1300" s="64">
        <v>45.483055555555552</v>
      </c>
      <c r="D1300" t="s">
        <v>91</v>
      </c>
      <c r="G1300" t="s">
        <v>28</v>
      </c>
      <c r="H1300" t="s">
        <v>12</v>
      </c>
    </row>
    <row r="1301" spans="1:9">
      <c r="A1301" t="s">
        <v>540</v>
      </c>
      <c r="B1301" t="s">
        <v>541</v>
      </c>
      <c r="C1301" s="41">
        <v>3.1007751937984399E-2</v>
      </c>
      <c r="D1301" t="s">
        <v>6</v>
      </c>
      <c r="G1301" t="s">
        <v>96</v>
      </c>
      <c r="H1301" t="s">
        <v>12</v>
      </c>
    </row>
    <row r="1302" spans="1:9">
      <c r="A1302" t="s">
        <v>544</v>
      </c>
      <c r="B1302" t="s">
        <v>545</v>
      </c>
      <c r="C1302" s="41">
        <v>4.6511627906976744E-2</v>
      </c>
      <c r="D1302" t="s">
        <v>6</v>
      </c>
      <c r="G1302" t="s">
        <v>96</v>
      </c>
      <c r="H1302" t="s">
        <v>12</v>
      </c>
    </row>
    <row r="1303" spans="1:9">
      <c r="A1303" t="s">
        <v>687</v>
      </c>
      <c r="B1303" s="13" t="s">
        <v>572</v>
      </c>
      <c r="C1303" s="41">
        <v>1</v>
      </c>
      <c r="D1303" t="s">
        <v>6</v>
      </c>
      <c r="G1303" t="s">
        <v>28</v>
      </c>
      <c r="H1303" t="s">
        <v>12</v>
      </c>
      <c r="I1303" t="s">
        <v>686</v>
      </c>
    </row>
    <row r="1304" spans="1:9">
      <c r="A1304" t="s">
        <v>32</v>
      </c>
      <c r="C1304" s="20">
        <f>0.0555*36*$C$1300</f>
        <v>90.875144999999989</v>
      </c>
      <c r="D1304" t="s">
        <v>13</v>
      </c>
      <c r="E1304" t="s">
        <v>83</v>
      </c>
      <c r="F1304" t="s">
        <v>174</v>
      </c>
      <c r="H1304" t="s">
        <v>15</v>
      </c>
      <c r="I1304" t="s">
        <v>556</v>
      </c>
    </row>
    <row r="1305" spans="1:9">
      <c r="A1305" s="31" t="s">
        <v>478</v>
      </c>
      <c r="B1305" s="31"/>
      <c r="C1305" s="20">
        <f>0.000025*36*$C$1300</f>
        <v>4.0934749999999999E-2</v>
      </c>
      <c r="D1305" s="26" t="s">
        <v>13</v>
      </c>
      <c r="E1305" s="26" t="s">
        <v>83</v>
      </c>
      <c r="F1305" s="31" t="s">
        <v>109</v>
      </c>
      <c r="G1305" s="31"/>
      <c r="H1305" s="26" t="s">
        <v>15</v>
      </c>
      <c r="I1305" t="s">
        <v>556</v>
      </c>
    </row>
    <row r="1306" spans="1:9">
      <c r="A1306" t="s">
        <v>86</v>
      </c>
      <c r="C1306" s="13">
        <f>0.0000005*36*$C$1300</f>
        <v>8.1869499999999993E-4</v>
      </c>
      <c r="D1306" t="s">
        <v>13</v>
      </c>
      <c r="E1306" t="s">
        <v>83</v>
      </c>
      <c r="F1306" t="s">
        <v>174</v>
      </c>
      <c r="H1306" t="s">
        <v>15</v>
      </c>
      <c r="I1306" t="s">
        <v>556</v>
      </c>
    </row>
    <row r="1307" spans="1:9">
      <c r="A1307" t="s">
        <v>85</v>
      </c>
      <c r="C1307" s="13">
        <f>0.0000005*36*$C$1300</f>
        <v>8.1869499999999993E-4</v>
      </c>
      <c r="D1307" t="s">
        <v>13</v>
      </c>
      <c r="E1307" t="s">
        <v>83</v>
      </c>
      <c r="F1307" t="s">
        <v>174</v>
      </c>
      <c r="H1307" t="s">
        <v>15</v>
      </c>
      <c r="I1307" t="s">
        <v>556</v>
      </c>
    </row>
    <row r="1308" spans="1:9">
      <c r="A1308" t="s">
        <v>87</v>
      </c>
      <c r="C1308" s="13">
        <f>0.000026*36*$C$1300</f>
        <v>4.2572139999999994E-2</v>
      </c>
      <c r="D1308" t="s">
        <v>13</v>
      </c>
      <c r="E1308" t="s">
        <v>83</v>
      </c>
      <c r="F1308" t="s">
        <v>174</v>
      </c>
      <c r="H1308" t="s">
        <v>15</v>
      </c>
      <c r="I1308" t="s">
        <v>556</v>
      </c>
    </row>
    <row r="1309" spans="1:9">
      <c r="A1309" s="31" t="s">
        <v>142</v>
      </c>
      <c r="B1309" s="31"/>
      <c r="C1309" s="13">
        <f>0.000004*36*$C$1300</f>
        <v>6.5495599999999994E-3</v>
      </c>
      <c r="D1309" s="26" t="s">
        <v>13</v>
      </c>
      <c r="E1309" s="26" t="s">
        <v>83</v>
      </c>
      <c r="F1309" s="31" t="s">
        <v>109</v>
      </c>
      <c r="G1309" s="31"/>
      <c r="H1309" s="26" t="s">
        <v>15</v>
      </c>
      <c r="I1309" t="s">
        <v>556</v>
      </c>
    </row>
    <row r="1310" spans="1:9">
      <c r="A1310" t="s">
        <v>89</v>
      </c>
      <c r="C1310" s="13">
        <f>0.0000005*36*$C$1300</f>
        <v>8.1869499999999993E-4</v>
      </c>
      <c r="D1310" t="s">
        <v>13</v>
      </c>
      <c r="E1310" t="s">
        <v>83</v>
      </c>
      <c r="F1310" t="s">
        <v>174</v>
      </c>
      <c r="H1310" t="s">
        <v>15</v>
      </c>
      <c r="I1310" t="s">
        <v>556</v>
      </c>
    </row>
    <row r="1311" spans="1:9">
      <c r="A1311" t="s">
        <v>525</v>
      </c>
      <c r="C1311" s="13">
        <f>0.0000002*36*$C$1300</f>
        <v>3.2747799999999997E-4</v>
      </c>
      <c r="D1311" t="s">
        <v>13</v>
      </c>
      <c r="E1311" t="s">
        <v>555</v>
      </c>
      <c r="F1311" t="s">
        <v>174</v>
      </c>
      <c r="H1311" t="s">
        <v>15</v>
      </c>
      <c r="I1311" t="s">
        <v>556</v>
      </c>
    </row>
    <row r="1312" spans="1:9">
      <c r="A1312" t="s">
        <v>528</v>
      </c>
      <c r="C1312" s="13">
        <f>0.0000001*36*$C$1300</f>
        <v>1.6373899999999999E-4</v>
      </c>
      <c r="D1312" t="s">
        <v>13</v>
      </c>
      <c r="E1312" t="s">
        <v>555</v>
      </c>
      <c r="F1312" t="s">
        <v>174</v>
      </c>
      <c r="H1312" t="s">
        <v>15</v>
      </c>
      <c r="I1312" t="s">
        <v>556</v>
      </c>
    </row>
    <row r="1313" spans="1:9">
      <c r="A1313" s="49"/>
      <c r="B1313" s="50"/>
      <c r="C1313" s="49"/>
      <c r="D1313" s="49"/>
      <c r="E1313" s="49"/>
      <c r="F1313" s="49"/>
      <c r="G1313" s="49"/>
      <c r="H1313" s="49"/>
      <c r="I1313" s="49"/>
    </row>
    <row r="1314" spans="1:9" ht="15.6">
      <c r="A1314" s="18" t="s">
        <v>1</v>
      </c>
      <c r="B1314" s="23" t="s">
        <v>553</v>
      </c>
    </row>
    <row r="1315" spans="1:9">
      <c r="A1315" s="24" t="s">
        <v>2</v>
      </c>
      <c r="B1315" s="13" t="s">
        <v>28</v>
      </c>
      <c r="H1315" s="55"/>
    </row>
    <row r="1316" spans="1:9">
      <c r="A1316" s="24" t="s">
        <v>3</v>
      </c>
      <c r="B1316" s="13">
        <v>1</v>
      </c>
      <c r="F1316" s="13"/>
      <c r="H1316" s="13"/>
    </row>
    <row r="1317" spans="1:9">
      <c r="A1317" s="24" t="s">
        <v>4</v>
      </c>
      <c r="B1317" s="13" t="s">
        <v>554</v>
      </c>
      <c r="F1317" s="13"/>
    </row>
    <row r="1318" spans="1:9">
      <c r="A1318" s="24" t="s">
        <v>5</v>
      </c>
      <c r="B1318" s="13" t="s">
        <v>59</v>
      </c>
      <c r="F1318" s="20"/>
    </row>
    <row r="1319" spans="1:9">
      <c r="A1319" s="24" t="s">
        <v>6</v>
      </c>
      <c r="B1319" s="13" t="s">
        <v>6</v>
      </c>
    </row>
    <row r="1320" spans="1:9">
      <c r="A1320" s="24" t="s">
        <v>57</v>
      </c>
    </row>
    <row r="1321" spans="1:9" ht="15.6">
      <c r="A1321" s="18" t="s">
        <v>7</v>
      </c>
      <c r="C1321" s="25"/>
      <c r="D1321" s="26"/>
      <c r="E1321" s="26"/>
      <c r="F1321" s="26"/>
      <c r="G1321" s="26"/>
      <c r="H1321" s="26"/>
      <c r="I1321" s="26"/>
    </row>
    <row r="1322" spans="1:9">
      <c r="A1322" s="24" t="s">
        <v>8</v>
      </c>
      <c r="B1322" s="23" t="s">
        <v>4</v>
      </c>
      <c r="C1322" s="30" t="s">
        <v>9</v>
      </c>
      <c r="D1322" s="24" t="s">
        <v>6</v>
      </c>
      <c r="E1322" s="24" t="s">
        <v>81</v>
      </c>
      <c r="F1322" s="24" t="s">
        <v>10</v>
      </c>
      <c r="G1322" s="24" t="s">
        <v>2</v>
      </c>
      <c r="H1322" s="24" t="s">
        <v>5</v>
      </c>
      <c r="I1322" s="24" t="s">
        <v>11</v>
      </c>
    </row>
    <row r="1323" spans="1:9">
      <c r="A1323" s="13" t="s">
        <v>553</v>
      </c>
      <c r="B1323" s="13" t="s">
        <v>554</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559</v>
      </c>
      <c r="B1325" t="s">
        <v>557</v>
      </c>
      <c r="C1325" s="41">
        <v>3.1007751937984399E-2</v>
      </c>
      <c r="D1325" t="s">
        <v>6</v>
      </c>
      <c r="G1325" t="s">
        <v>36</v>
      </c>
      <c r="H1325" t="s">
        <v>12</v>
      </c>
    </row>
    <row r="1326" spans="1:9">
      <c r="A1326" t="s">
        <v>544</v>
      </c>
      <c r="B1326" t="s">
        <v>545</v>
      </c>
      <c r="C1326" s="41">
        <v>4.6511627906976744E-2</v>
      </c>
      <c r="D1326" t="s">
        <v>6</v>
      </c>
      <c r="G1326" t="s">
        <v>96</v>
      </c>
      <c r="H1326" t="s">
        <v>12</v>
      </c>
    </row>
    <row r="1327" spans="1:9">
      <c r="A1327" t="s">
        <v>687</v>
      </c>
      <c r="B1327" s="13" t="s">
        <v>572</v>
      </c>
      <c r="C1327" s="41">
        <v>1</v>
      </c>
      <c r="D1327" t="s">
        <v>6</v>
      </c>
      <c r="G1327" t="s">
        <v>28</v>
      </c>
      <c r="H1327" t="s">
        <v>12</v>
      </c>
      <c r="I1327" t="s">
        <v>686</v>
      </c>
    </row>
    <row r="1328" spans="1:9">
      <c r="A1328" s="49"/>
      <c r="B1328" s="50"/>
      <c r="C1328" s="49"/>
      <c r="D1328" s="49"/>
      <c r="E1328" s="49"/>
      <c r="F1328" s="49"/>
      <c r="G1328" s="49"/>
      <c r="H1328" s="49"/>
      <c r="I1328" s="49"/>
    </row>
    <row r="1329" spans="1:9" ht="15.6">
      <c r="A1329" s="18" t="s">
        <v>1</v>
      </c>
      <c r="B1329" s="23" t="s">
        <v>689</v>
      </c>
    </row>
    <row r="1330" spans="1:9">
      <c r="A1330" s="24" t="s">
        <v>2</v>
      </c>
      <c r="B1330" s="13" t="s">
        <v>28</v>
      </c>
      <c r="H1330" s="55"/>
    </row>
    <row r="1331" spans="1:9">
      <c r="A1331" s="24" t="s">
        <v>3</v>
      </c>
      <c r="B1331" s="13">
        <v>1</v>
      </c>
      <c r="F1331" s="13"/>
      <c r="H1331" s="13"/>
    </row>
    <row r="1332" spans="1:9">
      <c r="A1332" s="24" t="s">
        <v>4</v>
      </c>
      <c r="B1332" s="13" t="s">
        <v>688</v>
      </c>
      <c r="F1332" s="13"/>
    </row>
    <row r="1333" spans="1:9">
      <c r="A1333" s="24" t="s">
        <v>5</v>
      </c>
      <c r="B1333" s="13" t="s">
        <v>59</v>
      </c>
      <c r="F1333" s="20"/>
    </row>
    <row r="1334" spans="1:9">
      <c r="A1334" s="24" t="s">
        <v>6</v>
      </c>
      <c r="B1334" s="13" t="s">
        <v>6</v>
      </c>
    </row>
    <row r="1335" spans="1:9">
      <c r="A1335" s="24" t="s">
        <v>57</v>
      </c>
    </row>
    <row r="1336" spans="1:9" ht="15.6">
      <c r="A1336" s="18" t="s">
        <v>7</v>
      </c>
      <c r="C1336" s="25"/>
      <c r="D1336" s="26"/>
      <c r="E1336" s="26"/>
      <c r="F1336" s="26"/>
      <c r="G1336" s="26"/>
      <c r="H1336" s="26"/>
      <c r="I1336" s="26"/>
    </row>
    <row r="1337" spans="1:9">
      <c r="A1337" s="24" t="s">
        <v>8</v>
      </c>
      <c r="B1337" s="23" t="s">
        <v>4</v>
      </c>
      <c r="C1337" s="30" t="s">
        <v>9</v>
      </c>
      <c r="D1337" s="24" t="s">
        <v>6</v>
      </c>
      <c r="E1337" s="24" t="s">
        <v>81</v>
      </c>
      <c r="F1337" s="24" t="s">
        <v>10</v>
      </c>
      <c r="G1337" s="24" t="s">
        <v>2</v>
      </c>
      <c r="H1337" s="24" t="s">
        <v>5</v>
      </c>
      <c r="I1337" s="24" t="s">
        <v>11</v>
      </c>
    </row>
    <row r="1338" spans="1:9">
      <c r="A1338" s="13" t="s">
        <v>689</v>
      </c>
      <c r="B1338" s="13" t="s">
        <v>688</v>
      </c>
      <c r="C1338">
        <v>1</v>
      </c>
      <c r="D1338" t="s">
        <v>6</v>
      </c>
      <c r="G1338" t="s">
        <v>28</v>
      </c>
      <c r="H1338" t="s">
        <v>18</v>
      </c>
    </row>
    <row r="1339" spans="1:9" s="13" customFormat="1">
      <c r="A1339" s="13" t="s">
        <v>690</v>
      </c>
      <c r="B1339" s="13" t="s">
        <v>488</v>
      </c>
      <c r="C1339" s="20">
        <v>2228.7496354420773</v>
      </c>
      <c r="D1339" t="s">
        <v>35</v>
      </c>
      <c r="G1339" s="13" t="s">
        <v>28</v>
      </c>
      <c r="H1339" s="13" t="s">
        <v>12</v>
      </c>
      <c r="I1339" s="13" t="s">
        <v>692</v>
      </c>
    </row>
    <row r="1340" spans="1:9">
      <c r="A1340" t="s">
        <v>27</v>
      </c>
      <c r="B1340" s="13" t="s">
        <v>20</v>
      </c>
      <c r="C1340" s="65">
        <v>11.624825581395351</v>
      </c>
      <c r="D1340" t="s">
        <v>19</v>
      </c>
      <c r="G1340" t="s">
        <v>28</v>
      </c>
      <c r="H1340" t="s">
        <v>12</v>
      </c>
      <c r="I1340" t="s">
        <v>691</v>
      </c>
    </row>
    <row r="1341" spans="1:9">
      <c r="A1341" t="s">
        <v>693</v>
      </c>
      <c r="B1341" t="s">
        <v>694</v>
      </c>
      <c r="C1341" s="41">
        <v>1</v>
      </c>
      <c r="D1341" t="s">
        <v>6</v>
      </c>
      <c r="G1341" t="s">
        <v>96</v>
      </c>
      <c r="H1341" t="s">
        <v>12</v>
      </c>
    </row>
    <row r="1342" spans="1:9">
      <c r="A1342" t="s">
        <v>695</v>
      </c>
      <c r="B1342" t="s">
        <v>696</v>
      </c>
      <c r="C1342" s="41">
        <v>9.7226201036316464</v>
      </c>
      <c r="D1342" t="s">
        <v>13</v>
      </c>
      <c r="G1342" t="s">
        <v>134</v>
      </c>
      <c r="H1342" t="s">
        <v>12</v>
      </c>
    </row>
    <row r="1343" spans="1:9">
      <c r="A1343" t="s">
        <v>697</v>
      </c>
      <c r="B1343" t="s">
        <v>698</v>
      </c>
      <c r="C1343" s="41">
        <v>1.4885317466709565E-2</v>
      </c>
      <c r="D1343" t="s">
        <v>13</v>
      </c>
      <c r="G1343" t="s">
        <v>134</v>
      </c>
      <c r="H1343" t="s">
        <v>12</v>
      </c>
    </row>
    <row r="1344" spans="1:9">
      <c r="A1344" t="s">
        <v>699</v>
      </c>
      <c r="B1344" t="s">
        <v>700</v>
      </c>
      <c r="C1344" s="41">
        <v>2.9533786710786259E-2</v>
      </c>
      <c r="D1344" t="s">
        <v>91</v>
      </c>
      <c r="G1344" t="s">
        <v>134</v>
      </c>
      <c r="H1344" t="s">
        <v>12</v>
      </c>
    </row>
    <row r="1345" spans="1:9">
      <c r="A1345" t="s">
        <v>701</v>
      </c>
      <c r="B1345" t="s">
        <v>702</v>
      </c>
      <c r="C1345" s="41">
        <v>0.12822525947672769</v>
      </c>
      <c r="D1345" t="s">
        <v>91</v>
      </c>
      <c r="G1345" t="s">
        <v>134</v>
      </c>
      <c r="H1345" t="s">
        <v>12</v>
      </c>
    </row>
    <row r="1346" spans="1:9">
      <c r="A1346" t="s">
        <v>703</v>
      </c>
      <c r="B1346" t="s">
        <v>704</v>
      </c>
      <c r="C1346" s="41">
        <v>17.155020006048819</v>
      </c>
      <c r="D1346" t="s">
        <v>13</v>
      </c>
      <c r="G1346" t="s">
        <v>96</v>
      </c>
      <c r="H1346" t="s">
        <v>12</v>
      </c>
    </row>
    <row r="1347" spans="1:9">
      <c r="A1347" s="49"/>
      <c r="B1347" s="50"/>
      <c r="C1347" s="49"/>
      <c r="D1347" s="49"/>
      <c r="E1347" s="49"/>
      <c r="F1347" s="49"/>
      <c r="G1347" s="49"/>
      <c r="H1347" s="49"/>
      <c r="I1347" s="49"/>
    </row>
    <row r="1348" spans="1:9" ht="15.6">
      <c r="A1348" s="18" t="s">
        <v>1</v>
      </c>
      <c r="B1348" s="23" t="s">
        <v>706</v>
      </c>
    </row>
    <row r="1349" spans="1:9">
      <c r="A1349" s="24" t="s">
        <v>2</v>
      </c>
      <c r="B1349" s="13" t="s">
        <v>28</v>
      </c>
      <c r="H1349" s="55"/>
    </row>
    <row r="1350" spans="1:9">
      <c r="A1350" s="24" t="s">
        <v>3</v>
      </c>
      <c r="B1350" s="13">
        <v>1</v>
      </c>
      <c r="F1350" s="13"/>
      <c r="H1350" s="13"/>
    </row>
    <row r="1351" spans="1:9">
      <c r="A1351" s="24" t="s">
        <v>4</v>
      </c>
      <c r="B1351" s="13" t="s">
        <v>707</v>
      </c>
      <c r="F1351" s="13"/>
    </row>
    <row r="1352" spans="1:9">
      <c r="A1352" s="24" t="s">
        <v>5</v>
      </c>
      <c r="B1352" s="13" t="s">
        <v>59</v>
      </c>
      <c r="F1352" s="20"/>
    </row>
    <row r="1353" spans="1:9">
      <c r="A1353" s="24" t="s">
        <v>6</v>
      </c>
      <c r="B1353" s="13" t="s">
        <v>6</v>
      </c>
    </row>
    <row r="1354" spans="1:9">
      <c r="A1354" s="24" t="s">
        <v>57</v>
      </c>
    </row>
    <row r="1355" spans="1:9" ht="15.6">
      <c r="A1355" s="18" t="s">
        <v>7</v>
      </c>
      <c r="C1355" s="25"/>
      <c r="D1355" s="26"/>
      <c r="E1355" s="26"/>
      <c r="F1355" s="26"/>
      <c r="G1355" s="26"/>
      <c r="H1355" s="26"/>
      <c r="I1355" s="26"/>
    </row>
    <row r="1356" spans="1:9">
      <c r="A1356" s="24" t="s">
        <v>8</v>
      </c>
      <c r="B1356" s="23" t="s">
        <v>4</v>
      </c>
      <c r="C1356" s="30" t="s">
        <v>9</v>
      </c>
      <c r="D1356" s="24" t="s">
        <v>6</v>
      </c>
      <c r="E1356" s="24" t="s">
        <v>81</v>
      </c>
      <c r="F1356" s="24" t="s">
        <v>10</v>
      </c>
      <c r="G1356" s="24" t="s">
        <v>2</v>
      </c>
      <c r="H1356" s="24" t="s">
        <v>5</v>
      </c>
      <c r="I1356" s="24" t="s">
        <v>11</v>
      </c>
    </row>
    <row r="1357" spans="1:9">
      <c r="A1357" s="13" t="s">
        <v>706</v>
      </c>
      <c r="B1357" s="13" t="s">
        <v>707</v>
      </c>
      <c r="C1357">
        <v>1</v>
      </c>
      <c r="D1357" t="s">
        <v>6</v>
      </c>
      <c r="G1357" t="s">
        <v>28</v>
      </c>
      <c r="H1357" t="s">
        <v>18</v>
      </c>
    </row>
    <row r="1358" spans="1:9">
      <c r="A1358" t="s">
        <v>27</v>
      </c>
      <c r="B1358" s="13" t="s">
        <v>20</v>
      </c>
      <c r="C1358" s="65">
        <v>68.516800000000003</v>
      </c>
      <c r="D1358" t="s">
        <v>19</v>
      </c>
      <c r="G1358" t="s">
        <v>28</v>
      </c>
      <c r="H1358" t="s">
        <v>12</v>
      </c>
    </row>
    <row r="1359" spans="1:9">
      <c r="A1359" t="s">
        <v>708</v>
      </c>
      <c r="B1359" t="s">
        <v>718</v>
      </c>
      <c r="C1359" s="41">
        <v>0.1</v>
      </c>
      <c r="D1359" t="s">
        <v>6</v>
      </c>
      <c r="G1359" t="s">
        <v>96</v>
      </c>
      <c r="H1359" t="s">
        <v>12</v>
      </c>
    </row>
    <row r="1360" spans="1:9">
      <c r="A1360" t="s">
        <v>709</v>
      </c>
      <c r="B1360" t="s">
        <v>719</v>
      </c>
      <c r="C1360" s="41">
        <v>0.4</v>
      </c>
      <c r="D1360" t="s">
        <v>13</v>
      </c>
      <c r="G1360" t="s">
        <v>96</v>
      </c>
      <c r="H1360" t="s">
        <v>12</v>
      </c>
    </row>
    <row r="1361" spans="1:9">
      <c r="A1361" t="s">
        <v>710</v>
      </c>
      <c r="B1361" t="s">
        <v>720</v>
      </c>
      <c r="C1361" s="41">
        <v>0.4</v>
      </c>
      <c r="D1361" t="s">
        <v>13</v>
      </c>
      <c r="G1361" t="s">
        <v>96</v>
      </c>
      <c r="H1361" t="s">
        <v>12</v>
      </c>
    </row>
    <row r="1362" spans="1:9">
      <c r="A1362" t="s">
        <v>711</v>
      </c>
      <c r="B1362" t="s">
        <v>721</v>
      </c>
      <c r="C1362" s="41">
        <v>0</v>
      </c>
      <c r="D1362" t="s">
        <v>13</v>
      </c>
      <c r="G1362" t="s">
        <v>96</v>
      </c>
      <c r="H1362" t="s">
        <v>12</v>
      </c>
    </row>
    <row r="1363" spans="1:9">
      <c r="A1363" t="s">
        <v>712</v>
      </c>
      <c r="B1363" t="s">
        <v>722</v>
      </c>
      <c r="C1363" s="41">
        <v>0</v>
      </c>
      <c r="D1363" t="s">
        <v>13</v>
      </c>
      <c r="G1363" t="s">
        <v>96</v>
      </c>
      <c r="H1363" t="s">
        <v>12</v>
      </c>
    </row>
    <row r="1364" spans="1:9">
      <c r="A1364" t="s">
        <v>713</v>
      </c>
      <c r="B1364" t="s">
        <v>723</v>
      </c>
      <c r="C1364" s="41">
        <v>0</v>
      </c>
      <c r="D1364" t="s">
        <v>13</v>
      </c>
      <c r="G1364" t="s">
        <v>96</v>
      </c>
      <c r="H1364" t="s">
        <v>12</v>
      </c>
    </row>
    <row r="1365" spans="1:9">
      <c r="A1365" t="s">
        <v>714</v>
      </c>
      <c r="B1365" t="s">
        <v>724</v>
      </c>
      <c r="C1365">
        <v>0</v>
      </c>
      <c r="D1365" t="s">
        <v>13</v>
      </c>
      <c r="G1365" t="s">
        <v>96</v>
      </c>
      <c r="H1365" t="s">
        <v>12</v>
      </c>
    </row>
    <row r="1366" spans="1:9">
      <c r="A1366" t="s">
        <v>715</v>
      </c>
      <c r="B1366" t="s">
        <v>725</v>
      </c>
      <c r="C1366">
        <v>0</v>
      </c>
      <c r="D1366" t="s">
        <v>13</v>
      </c>
      <c r="G1366" t="s">
        <v>96</v>
      </c>
      <c r="H1366" t="s">
        <v>12</v>
      </c>
    </row>
    <row r="1367" spans="1:9">
      <c r="A1367" t="s">
        <v>716</v>
      </c>
      <c r="B1367" t="s">
        <v>726</v>
      </c>
      <c r="C1367">
        <v>0.6</v>
      </c>
      <c r="D1367" t="s">
        <v>13</v>
      </c>
      <c r="G1367" t="s">
        <v>96</v>
      </c>
      <c r="H1367" t="s">
        <v>12</v>
      </c>
    </row>
    <row r="1368" spans="1:9">
      <c r="A1368" t="s">
        <v>717</v>
      </c>
      <c r="B1368" t="s">
        <v>727</v>
      </c>
      <c r="C1368">
        <v>1</v>
      </c>
      <c r="D1368" t="s">
        <v>13</v>
      </c>
      <c r="G1368" t="s">
        <v>134</v>
      </c>
      <c r="H1368" t="s">
        <v>12</v>
      </c>
    </row>
    <row r="1369" spans="1:9">
      <c r="A1369" s="49"/>
      <c r="B1369" s="50"/>
      <c r="C1369" s="49"/>
      <c r="D1369" s="49"/>
      <c r="E1369" s="49"/>
      <c r="F1369" s="49"/>
      <c r="G1369" s="49"/>
      <c r="H1369" s="49"/>
      <c r="I1369" s="49"/>
    </row>
    <row r="1370" spans="1:9" ht="15.6">
      <c r="A1370" s="18" t="s">
        <v>1</v>
      </c>
      <c r="B1370" s="23" t="s">
        <v>728</v>
      </c>
    </row>
    <row r="1371" spans="1:9">
      <c r="A1371" s="24" t="s">
        <v>2</v>
      </c>
      <c r="B1371" s="13" t="s">
        <v>28</v>
      </c>
      <c r="H1371" s="55"/>
    </row>
    <row r="1372" spans="1:9">
      <c r="A1372" s="24" t="s">
        <v>3</v>
      </c>
      <c r="B1372" s="13">
        <v>1</v>
      </c>
      <c r="F1372" s="13"/>
      <c r="H1372" s="13"/>
    </row>
    <row r="1373" spans="1:9">
      <c r="A1373" s="24" t="s">
        <v>4</v>
      </c>
      <c r="B1373" s="13" t="s">
        <v>729</v>
      </c>
      <c r="F1373" s="13"/>
    </row>
    <row r="1374" spans="1:9">
      <c r="A1374" s="24" t="s">
        <v>5</v>
      </c>
      <c r="B1374" s="13" t="s">
        <v>59</v>
      </c>
      <c r="F1374" s="20"/>
    </row>
    <row r="1375" spans="1:9">
      <c r="A1375" s="24" t="s">
        <v>6</v>
      </c>
      <c r="B1375" s="13" t="s">
        <v>6</v>
      </c>
    </row>
    <row r="1376" spans="1:9">
      <c r="A1376" s="24" t="s">
        <v>57</v>
      </c>
    </row>
    <row r="1377" spans="1:9" ht="15.6">
      <c r="A1377" s="18" t="s">
        <v>7</v>
      </c>
      <c r="C1377" s="25"/>
      <c r="D1377" s="26"/>
      <c r="E1377" s="26"/>
      <c r="F1377" s="26"/>
      <c r="G1377" s="26"/>
      <c r="H1377" s="26"/>
      <c r="I1377" s="26"/>
    </row>
    <row r="1378" spans="1:9">
      <c r="A1378" s="24" t="s">
        <v>8</v>
      </c>
      <c r="B1378" s="23" t="s">
        <v>4</v>
      </c>
      <c r="C1378" s="30" t="s">
        <v>9</v>
      </c>
      <c r="D1378" s="24" t="s">
        <v>6</v>
      </c>
      <c r="E1378" s="24" t="s">
        <v>81</v>
      </c>
      <c r="F1378" s="24" t="s">
        <v>10</v>
      </c>
      <c r="G1378" s="24" t="s">
        <v>2</v>
      </c>
      <c r="H1378" s="24" t="s">
        <v>5</v>
      </c>
      <c r="I1378" s="24" t="s">
        <v>11</v>
      </c>
    </row>
    <row r="1379" spans="1:9">
      <c r="A1379" s="13" t="s">
        <v>728</v>
      </c>
      <c r="B1379" s="13" t="s">
        <v>729</v>
      </c>
      <c r="C1379">
        <v>1</v>
      </c>
      <c r="D1379" t="s">
        <v>6</v>
      </c>
      <c r="G1379" t="s">
        <v>28</v>
      </c>
      <c r="H1379" t="s">
        <v>18</v>
      </c>
    </row>
    <row r="1380" spans="1:9">
      <c r="A1380" s="13" t="s">
        <v>730</v>
      </c>
      <c r="B1380" s="13" t="s">
        <v>488</v>
      </c>
      <c r="C1380" s="20">
        <v>1410.5830808917863</v>
      </c>
      <c r="D1380" t="s">
        <v>35</v>
      </c>
      <c r="E1380" s="13"/>
      <c r="F1380" s="13"/>
      <c r="G1380" s="13" t="s">
        <v>28</v>
      </c>
      <c r="H1380" s="13" t="s">
        <v>12</v>
      </c>
    </row>
    <row r="1381" spans="1:9">
      <c r="A1381" t="s">
        <v>27</v>
      </c>
      <c r="B1381" s="13" t="s">
        <v>20</v>
      </c>
      <c r="C1381" s="65">
        <v>58.887640000000005</v>
      </c>
      <c r="D1381" t="s">
        <v>19</v>
      </c>
      <c r="G1381" t="s">
        <v>28</v>
      </c>
      <c r="H1381" t="s">
        <v>12</v>
      </c>
      <c r="I1381" t="s">
        <v>691</v>
      </c>
    </row>
    <row r="1382" spans="1:9">
      <c r="A1382" t="s">
        <v>699</v>
      </c>
      <c r="B1382" t="s">
        <v>700</v>
      </c>
      <c r="C1382" s="41">
        <v>2.2536817079020791E-2</v>
      </c>
      <c r="D1382" t="s">
        <v>91</v>
      </c>
      <c r="G1382" t="s">
        <v>134</v>
      </c>
      <c r="H1382" t="s">
        <v>12</v>
      </c>
      <c r="I1382" t="s">
        <v>733</v>
      </c>
    </row>
    <row r="1383" spans="1:9">
      <c r="A1383" t="s">
        <v>701</v>
      </c>
      <c r="B1383" t="s">
        <v>702</v>
      </c>
      <c r="C1383" s="41">
        <v>2.2463377515747087E-2</v>
      </c>
      <c r="D1383" t="s">
        <v>91</v>
      </c>
      <c r="G1383" t="s">
        <v>134</v>
      </c>
      <c r="H1383" t="s">
        <v>12</v>
      </c>
      <c r="I1383" t="s">
        <v>733</v>
      </c>
    </row>
    <row r="1384" spans="1:9">
      <c r="A1384" t="s">
        <v>703</v>
      </c>
      <c r="B1384" t="s">
        <v>704</v>
      </c>
      <c r="C1384" s="41">
        <v>2.5508072892144331</v>
      </c>
      <c r="D1384" t="s">
        <v>13</v>
      </c>
      <c r="G1384" t="s">
        <v>96</v>
      </c>
      <c r="H1384" t="s">
        <v>12</v>
      </c>
      <c r="I1384" t="s">
        <v>733</v>
      </c>
    </row>
    <row r="1385" spans="1:9">
      <c r="A1385" t="s">
        <v>731</v>
      </c>
      <c r="B1385" t="s">
        <v>732</v>
      </c>
      <c r="C1385" s="41">
        <v>4.7112989220033237</v>
      </c>
      <c r="D1385" t="s">
        <v>13</v>
      </c>
      <c r="G1385" t="s">
        <v>96</v>
      </c>
      <c r="H1385" t="s">
        <v>12</v>
      </c>
      <c r="I1385" t="s">
        <v>733</v>
      </c>
    </row>
    <row r="1386" spans="1:9">
      <c r="A1386" t="s">
        <v>693</v>
      </c>
      <c r="B1386" t="s">
        <v>694</v>
      </c>
      <c r="C1386" s="41">
        <v>4</v>
      </c>
      <c r="D1386" t="s">
        <v>6</v>
      </c>
      <c r="G1386" t="s">
        <v>96</v>
      </c>
      <c r="H1386" t="s">
        <v>12</v>
      </c>
      <c r="I1386" t="s">
        <v>733</v>
      </c>
    </row>
    <row r="1387" spans="1:9">
      <c r="A1387" s="49"/>
      <c r="B1387" s="50"/>
      <c r="C1387" s="49"/>
      <c r="D1387" s="49"/>
      <c r="E1387" s="49"/>
      <c r="F1387" s="49"/>
      <c r="G1387" s="49"/>
      <c r="H1387" s="49"/>
      <c r="I1387" s="49"/>
    </row>
    <row r="1388" spans="1:9" ht="15.6">
      <c r="A1388" s="18" t="s">
        <v>1</v>
      </c>
      <c r="B1388" s="23" t="s">
        <v>734</v>
      </c>
    </row>
    <row r="1389" spans="1:9">
      <c r="A1389" s="24" t="s">
        <v>2</v>
      </c>
      <c r="B1389" s="13" t="s">
        <v>28</v>
      </c>
      <c r="H1389" s="55"/>
    </row>
    <row r="1390" spans="1:9">
      <c r="A1390" s="24" t="s">
        <v>3</v>
      </c>
      <c r="B1390" s="13">
        <v>1</v>
      </c>
      <c r="F1390" s="13"/>
      <c r="H1390" s="13"/>
    </row>
    <row r="1391" spans="1:9">
      <c r="A1391" s="24" t="s">
        <v>4</v>
      </c>
      <c r="B1391" s="13" t="s">
        <v>735</v>
      </c>
      <c r="F1391" s="13"/>
    </row>
    <row r="1392" spans="1:9">
      <c r="A1392" s="24" t="s">
        <v>5</v>
      </c>
      <c r="B1392" s="13" t="s">
        <v>59</v>
      </c>
      <c r="F1392" s="20"/>
    </row>
    <row r="1393" spans="1:9">
      <c r="A1393" s="24" t="s">
        <v>6</v>
      </c>
      <c r="B1393" s="13" t="s">
        <v>6</v>
      </c>
    </row>
    <row r="1394" spans="1:9">
      <c r="A1394" s="24" t="s">
        <v>57</v>
      </c>
    </row>
    <row r="1395" spans="1:9" ht="15.6">
      <c r="A1395" s="18" t="s">
        <v>7</v>
      </c>
      <c r="C1395" s="25"/>
      <c r="D1395" s="26"/>
      <c r="E1395" s="26"/>
      <c r="F1395" s="26"/>
      <c r="G1395" s="26"/>
      <c r="H1395" s="26"/>
      <c r="I1395" s="26"/>
    </row>
    <row r="1396" spans="1:9">
      <c r="A1396" s="24" t="s">
        <v>8</v>
      </c>
      <c r="B1396" s="23" t="s">
        <v>4</v>
      </c>
      <c r="C1396" s="30" t="s">
        <v>9</v>
      </c>
      <c r="D1396" s="24" t="s">
        <v>6</v>
      </c>
      <c r="E1396" s="24" t="s">
        <v>81</v>
      </c>
      <c r="F1396" s="24" t="s">
        <v>10</v>
      </c>
      <c r="G1396" s="24" t="s">
        <v>2</v>
      </c>
      <c r="H1396" s="24" t="s">
        <v>5</v>
      </c>
      <c r="I1396" s="24" t="s">
        <v>11</v>
      </c>
    </row>
    <row r="1397" spans="1:9">
      <c r="A1397" s="13" t="s">
        <v>734</v>
      </c>
      <c r="B1397" s="13" t="s">
        <v>735</v>
      </c>
      <c r="C1397">
        <v>1</v>
      </c>
      <c r="D1397" t="s">
        <v>6</v>
      </c>
      <c r="G1397" t="s">
        <v>28</v>
      </c>
      <c r="H1397" t="s">
        <v>18</v>
      </c>
    </row>
    <row r="1398" spans="1:9">
      <c r="A1398" s="13" t="s">
        <v>730</v>
      </c>
      <c r="B1398" s="13" t="s">
        <v>488</v>
      </c>
      <c r="C1398" s="20">
        <v>894.81948850800109</v>
      </c>
      <c r="D1398" t="s">
        <v>35</v>
      </c>
      <c r="E1398" s="13"/>
      <c r="F1398" s="13"/>
      <c r="G1398" s="13" t="s">
        <v>28</v>
      </c>
      <c r="H1398" s="13" t="s">
        <v>12</v>
      </c>
    </row>
    <row r="1399" spans="1:9">
      <c r="A1399" t="s">
        <v>27</v>
      </c>
      <c r="B1399" s="13" t="s">
        <v>20</v>
      </c>
      <c r="C1399" s="65">
        <v>36.161279999999998</v>
      </c>
      <c r="D1399" t="s">
        <v>19</v>
      </c>
      <c r="G1399" t="s">
        <v>28</v>
      </c>
      <c r="H1399" t="s">
        <v>12</v>
      </c>
      <c r="I1399" t="s">
        <v>691</v>
      </c>
    </row>
    <row r="1400" spans="1:9">
      <c r="A1400" t="s">
        <v>699</v>
      </c>
      <c r="B1400" t="s">
        <v>700</v>
      </c>
      <c r="C1400" s="41">
        <v>9.588780239886489E-3</v>
      </c>
      <c r="D1400" t="s">
        <v>91</v>
      </c>
      <c r="G1400" t="s">
        <v>134</v>
      </c>
      <c r="H1400" t="s">
        <v>12</v>
      </c>
      <c r="I1400" t="s">
        <v>733</v>
      </c>
    </row>
    <row r="1401" spans="1:9">
      <c r="A1401" t="s">
        <v>701</v>
      </c>
      <c r="B1401" t="s">
        <v>702</v>
      </c>
      <c r="C1401" s="41">
        <v>6.5376650045297548E-3</v>
      </c>
      <c r="D1401" t="s">
        <v>91</v>
      </c>
      <c r="G1401" t="s">
        <v>134</v>
      </c>
      <c r="H1401" t="s">
        <v>12</v>
      </c>
      <c r="I1401" t="s">
        <v>733</v>
      </c>
    </row>
    <row r="1402" spans="1:9">
      <c r="A1402" t="s">
        <v>703</v>
      </c>
      <c r="B1402" t="s">
        <v>704</v>
      </c>
      <c r="C1402" s="41">
        <v>0.91385899274745341</v>
      </c>
      <c r="D1402" t="s">
        <v>13</v>
      </c>
      <c r="G1402" t="s">
        <v>96</v>
      </c>
      <c r="H1402" t="s">
        <v>12</v>
      </c>
      <c r="I1402" t="s">
        <v>733</v>
      </c>
    </row>
    <row r="1403" spans="1:9">
      <c r="A1403" t="s">
        <v>731</v>
      </c>
      <c r="B1403" t="s">
        <v>732</v>
      </c>
      <c r="C1403" s="41">
        <v>2.6329079093854051</v>
      </c>
      <c r="D1403" t="s">
        <v>13</v>
      </c>
      <c r="G1403" t="s">
        <v>96</v>
      </c>
      <c r="H1403" t="s">
        <v>12</v>
      </c>
      <c r="I1403" t="s">
        <v>733</v>
      </c>
    </row>
    <row r="1404" spans="1:9">
      <c r="A1404" t="s">
        <v>693</v>
      </c>
      <c r="B1404" t="s">
        <v>694</v>
      </c>
      <c r="C1404" s="41">
        <v>4</v>
      </c>
      <c r="D1404" t="s">
        <v>6</v>
      </c>
      <c r="G1404" t="s">
        <v>96</v>
      </c>
      <c r="H1404" t="s">
        <v>12</v>
      </c>
      <c r="I1404" t="s">
        <v>733</v>
      </c>
    </row>
    <row r="1405" spans="1:9">
      <c r="A1405" s="49"/>
      <c r="B1405" s="50"/>
      <c r="C1405" s="49"/>
      <c r="D1405" s="49"/>
      <c r="E1405" s="49"/>
      <c r="F1405" s="49"/>
      <c r="G1405" s="49"/>
      <c r="H1405" s="49"/>
      <c r="I1405" s="49"/>
    </row>
    <row r="1406" spans="1:9" ht="15.6">
      <c r="A1406" s="18" t="s">
        <v>1</v>
      </c>
      <c r="B1406" s="23" t="s">
        <v>736</v>
      </c>
    </row>
    <row r="1407" spans="1:9">
      <c r="A1407" s="24" t="s">
        <v>2</v>
      </c>
      <c r="B1407" s="13" t="s">
        <v>28</v>
      </c>
      <c r="H1407" s="55"/>
    </row>
    <row r="1408" spans="1:9">
      <c r="A1408" s="24" t="s">
        <v>3</v>
      </c>
      <c r="B1408" s="13">
        <v>1</v>
      </c>
      <c r="F1408" s="13"/>
      <c r="H1408" s="13"/>
    </row>
    <row r="1409" spans="1:9">
      <c r="A1409" s="24" t="s">
        <v>4</v>
      </c>
      <c r="B1409" s="13" t="s">
        <v>737</v>
      </c>
      <c r="F1409" s="13"/>
    </row>
    <row r="1410" spans="1:9">
      <c r="A1410" s="24" t="s">
        <v>5</v>
      </c>
      <c r="B1410" s="13" t="s">
        <v>59</v>
      </c>
      <c r="F1410" s="20"/>
    </row>
    <row r="1411" spans="1:9">
      <c r="A1411" s="24" t="s">
        <v>6</v>
      </c>
      <c r="B1411" s="13" t="s">
        <v>6</v>
      </c>
    </row>
    <row r="1412" spans="1:9">
      <c r="A1412" s="24" t="s">
        <v>57</v>
      </c>
    </row>
    <row r="1413" spans="1:9" ht="15.6">
      <c r="A1413" s="18" t="s">
        <v>7</v>
      </c>
      <c r="C1413" s="25"/>
      <c r="D1413" s="26"/>
      <c r="E1413" s="26"/>
      <c r="F1413" s="26"/>
      <c r="G1413" s="26"/>
      <c r="H1413" s="26"/>
      <c r="I1413" s="26"/>
    </row>
    <row r="1414" spans="1:9">
      <c r="A1414" s="24" t="s">
        <v>8</v>
      </c>
      <c r="B1414" s="23" t="s">
        <v>4</v>
      </c>
      <c r="C1414" s="30" t="s">
        <v>9</v>
      </c>
      <c r="D1414" s="24" t="s">
        <v>6</v>
      </c>
      <c r="E1414" s="24" t="s">
        <v>81</v>
      </c>
      <c r="F1414" s="24" t="s">
        <v>10</v>
      </c>
      <c r="G1414" s="24" t="s">
        <v>2</v>
      </c>
      <c r="H1414" s="24" t="s">
        <v>5</v>
      </c>
      <c r="I1414" s="24" t="s">
        <v>11</v>
      </c>
    </row>
    <row r="1415" spans="1:9">
      <c r="A1415" s="13" t="s">
        <v>736</v>
      </c>
      <c r="B1415" s="13" t="s">
        <v>737</v>
      </c>
      <c r="C1415">
        <v>1</v>
      </c>
      <c r="D1415" t="s">
        <v>6</v>
      </c>
      <c r="G1415" t="s">
        <v>28</v>
      </c>
      <c r="H1415" t="s">
        <v>18</v>
      </c>
    </row>
    <row r="1416" spans="1:9">
      <c r="A1416" s="13" t="s">
        <v>730</v>
      </c>
      <c r="B1416" s="13" t="s">
        <v>488</v>
      </c>
      <c r="C1416" s="20">
        <v>1489.4729522387051</v>
      </c>
      <c r="D1416" t="s">
        <v>35</v>
      </c>
      <c r="E1416" s="13"/>
      <c r="F1416" s="13"/>
      <c r="G1416" s="13" t="s">
        <v>28</v>
      </c>
      <c r="H1416" s="13" t="s">
        <v>12</v>
      </c>
    </row>
    <row r="1417" spans="1:9">
      <c r="A1417" t="s">
        <v>27</v>
      </c>
      <c r="B1417" s="13" t="s">
        <v>20</v>
      </c>
      <c r="C1417" s="65">
        <v>24.169328609229943</v>
      </c>
      <c r="D1417" t="s">
        <v>19</v>
      </c>
      <c r="G1417" t="s">
        <v>28</v>
      </c>
      <c r="H1417" t="s">
        <v>12</v>
      </c>
      <c r="I1417" t="s">
        <v>691</v>
      </c>
    </row>
    <row r="1418" spans="1:9">
      <c r="A1418" t="s">
        <v>699</v>
      </c>
      <c r="B1418" t="s">
        <v>700</v>
      </c>
      <c r="C1418" s="41">
        <v>9.1578497118428651E-3</v>
      </c>
      <c r="D1418" t="s">
        <v>91</v>
      </c>
      <c r="G1418" t="s">
        <v>134</v>
      </c>
      <c r="H1418" t="s">
        <v>12</v>
      </c>
      <c r="I1418" t="s">
        <v>733</v>
      </c>
    </row>
    <row r="1419" spans="1:9">
      <c r="A1419" t="s">
        <v>701</v>
      </c>
      <c r="B1419" t="s">
        <v>702</v>
      </c>
      <c r="C1419" s="41">
        <v>8.1936173025088151E-3</v>
      </c>
      <c r="D1419" t="s">
        <v>91</v>
      </c>
      <c r="G1419" t="s">
        <v>134</v>
      </c>
      <c r="H1419" t="s">
        <v>12</v>
      </c>
      <c r="I1419" t="s">
        <v>733</v>
      </c>
    </row>
    <row r="1420" spans="1:9">
      <c r="A1420" t="s">
        <v>703</v>
      </c>
      <c r="B1420" t="s">
        <v>704</v>
      </c>
      <c r="C1420" s="41">
        <v>1.0519495105134982</v>
      </c>
      <c r="D1420" t="s">
        <v>13</v>
      </c>
      <c r="G1420" t="s">
        <v>96</v>
      </c>
      <c r="H1420" t="s">
        <v>12</v>
      </c>
      <c r="I1420" t="s">
        <v>733</v>
      </c>
    </row>
    <row r="1421" spans="1:9">
      <c r="A1421" t="s">
        <v>731</v>
      </c>
      <c r="B1421" t="s">
        <v>732</v>
      </c>
      <c r="C1421" s="41">
        <v>1.9865136400462349</v>
      </c>
      <c r="D1421" t="s">
        <v>13</v>
      </c>
      <c r="G1421" t="s">
        <v>96</v>
      </c>
      <c r="H1421" t="s">
        <v>12</v>
      </c>
      <c r="I1421" t="s">
        <v>733</v>
      </c>
    </row>
    <row r="1422" spans="1:9">
      <c r="A1422" t="s">
        <v>693</v>
      </c>
      <c r="B1422" t="s">
        <v>694</v>
      </c>
      <c r="C1422" s="41">
        <v>4</v>
      </c>
      <c r="D1422" t="s">
        <v>6</v>
      </c>
      <c r="G1422" t="s">
        <v>96</v>
      </c>
      <c r="H1422" t="s">
        <v>12</v>
      </c>
      <c r="I1422" t="s">
        <v>733</v>
      </c>
    </row>
    <row r="1423" spans="1:9">
      <c r="A1423" s="49"/>
      <c r="B1423" s="50"/>
      <c r="C1423" s="49"/>
      <c r="D1423" s="49"/>
      <c r="E1423" s="49"/>
      <c r="F1423" s="49"/>
      <c r="G1423" s="49"/>
      <c r="H1423" s="49"/>
      <c r="I1423" s="49"/>
    </row>
    <row r="1424" spans="1:9" ht="15.6">
      <c r="A1424" s="18" t="s">
        <v>1</v>
      </c>
      <c r="B1424" s="23" t="s">
        <v>738</v>
      </c>
    </row>
    <row r="1425" spans="1:9">
      <c r="A1425" s="24" t="s">
        <v>2</v>
      </c>
      <c r="B1425" s="13" t="s">
        <v>28</v>
      </c>
      <c r="H1425" s="55"/>
    </row>
    <row r="1426" spans="1:9">
      <c r="A1426" s="24" t="s">
        <v>3</v>
      </c>
      <c r="B1426" s="13">
        <v>1</v>
      </c>
      <c r="F1426" s="13"/>
      <c r="H1426" s="13"/>
    </row>
    <row r="1427" spans="1:9">
      <c r="A1427" s="24" t="s">
        <v>4</v>
      </c>
      <c r="B1427" s="13" t="s">
        <v>739</v>
      </c>
      <c r="F1427" s="13"/>
    </row>
    <row r="1428" spans="1:9">
      <c r="A1428" s="24" t="s">
        <v>5</v>
      </c>
      <c r="B1428" s="13" t="s">
        <v>59</v>
      </c>
      <c r="F1428" s="20"/>
    </row>
    <row r="1429" spans="1:9">
      <c r="A1429" s="24" t="s">
        <v>6</v>
      </c>
      <c r="B1429" s="13" t="s">
        <v>6</v>
      </c>
    </row>
    <row r="1430" spans="1:9">
      <c r="A1430" s="24" t="s">
        <v>57</v>
      </c>
    </row>
    <row r="1431" spans="1:9" ht="15.6">
      <c r="A1431" s="18" t="s">
        <v>7</v>
      </c>
      <c r="C1431" s="25"/>
      <c r="D1431" s="26"/>
      <c r="E1431" s="26"/>
      <c r="F1431" s="26"/>
      <c r="G1431" s="26"/>
      <c r="H1431" s="26"/>
      <c r="I1431" s="26"/>
    </row>
    <row r="1432" spans="1:9">
      <c r="A1432" s="24" t="s">
        <v>8</v>
      </c>
      <c r="B1432" s="23" t="s">
        <v>4</v>
      </c>
      <c r="C1432" s="30" t="s">
        <v>9</v>
      </c>
      <c r="D1432" s="24" t="s">
        <v>6</v>
      </c>
      <c r="E1432" s="24" t="s">
        <v>81</v>
      </c>
      <c r="F1432" s="24" t="s">
        <v>10</v>
      </c>
      <c r="G1432" s="24" t="s">
        <v>2</v>
      </c>
      <c r="H1432" s="24" t="s">
        <v>5</v>
      </c>
      <c r="I1432" s="24" t="s">
        <v>11</v>
      </c>
    </row>
    <row r="1433" spans="1:9">
      <c r="A1433" s="13" t="s">
        <v>738</v>
      </c>
      <c r="B1433" s="13" t="s">
        <v>739</v>
      </c>
      <c r="C1433">
        <v>1</v>
      </c>
      <c r="D1433" t="s">
        <v>6</v>
      </c>
      <c r="G1433" t="s">
        <v>28</v>
      </c>
      <c r="H1433" t="s">
        <v>18</v>
      </c>
    </row>
    <row r="1434" spans="1:9">
      <c r="A1434" s="13" t="s">
        <v>730</v>
      </c>
      <c r="B1434" s="13" t="s">
        <v>488</v>
      </c>
      <c r="C1434" s="20">
        <v>1263.1449007073684</v>
      </c>
      <c r="D1434" t="s">
        <v>35</v>
      </c>
      <c r="E1434" s="13"/>
      <c r="F1434" s="13"/>
      <c r="G1434" s="13" t="s">
        <v>28</v>
      </c>
      <c r="H1434" s="13" t="s">
        <v>12</v>
      </c>
    </row>
    <row r="1435" spans="1:9">
      <c r="A1435" t="s">
        <v>740</v>
      </c>
      <c r="B1435" t="s">
        <v>31</v>
      </c>
      <c r="C1435" s="36">
        <v>18250</v>
      </c>
      <c r="D1435" t="s">
        <v>13</v>
      </c>
      <c r="G1435" t="s">
        <v>96</v>
      </c>
      <c r="H1435" t="s">
        <v>12</v>
      </c>
      <c r="I1435" t="s">
        <v>733</v>
      </c>
    </row>
    <row r="1436" spans="1:9">
      <c r="A1436" t="s">
        <v>742</v>
      </c>
      <c r="B1436" t="s">
        <v>743</v>
      </c>
      <c r="C1436" s="20">
        <v>-529.99999999999989</v>
      </c>
      <c r="D1436" t="s">
        <v>13</v>
      </c>
      <c r="G1436" t="s">
        <v>28</v>
      </c>
      <c r="H1436" t="s">
        <v>12</v>
      </c>
      <c r="I1436" t="s">
        <v>744</v>
      </c>
    </row>
    <row r="1437" spans="1:9">
      <c r="A1437" t="s">
        <v>741</v>
      </c>
      <c r="B1437" t="s">
        <v>461</v>
      </c>
      <c r="C1437" s="20">
        <v>-18.25</v>
      </c>
      <c r="D1437" t="s">
        <v>91</v>
      </c>
      <c r="G1437" t="s">
        <v>134</v>
      </c>
      <c r="H1437" t="s">
        <v>12</v>
      </c>
    </row>
    <row r="1438" spans="1:9">
      <c r="A1438" s="49"/>
      <c r="B1438" s="50"/>
      <c r="C1438" s="49"/>
      <c r="D1438" s="49"/>
      <c r="E1438" s="49"/>
      <c r="F1438" s="49"/>
      <c r="G1438" s="49"/>
      <c r="H1438" s="49"/>
      <c r="I1438" s="49"/>
    </row>
    <row r="1439" spans="1:9" ht="15.6">
      <c r="A1439" s="18" t="s">
        <v>1</v>
      </c>
      <c r="B1439" s="23" t="s">
        <v>745</v>
      </c>
    </row>
    <row r="1440" spans="1:9">
      <c r="A1440" s="24" t="s">
        <v>2</v>
      </c>
      <c r="B1440" s="13" t="s">
        <v>28</v>
      </c>
      <c r="H1440" s="55"/>
    </row>
    <row r="1441" spans="1:9">
      <c r="A1441" s="24" t="s">
        <v>3</v>
      </c>
      <c r="B1441" s="13">
        <v>1</v>
      </c>
      <c r="F1441" s="13"/>
      <c r="H1441" s="13"/>
    </row>
    <row r="1442" spans="1:9">
      <c r="A1442" s="24" t="s">
        <v>4</v>
      </c>
      <c r="B1442" s="13" t="s">
        <v>746</v>
      </c>
      <c r="F1442" s="13"/>
    </row>
    <row r="1443" spans="1:9">
      <c r="A1443" s="24" t="s">
        <v>5</v>
      </c>
      <c r="B1443" s="13" t="s">
        <v>59</v>
      </c>
      <c r="F1443" s="20"/>
    </row>
    <row r="1444" spans="1:9">
      <c r="A1444" s="24" t="s">
        <v>6</v>
      </c>
      <c r="B1444" s="13" t="s">
        <v>6</v>
      </c>
    </row>
    <row r="1445" spans="1:9">
      <c r="A1445" s="24" t="s">
        <v>57</v>
      </c>
    </row>
    <row r="1446" spans="1:9" ht="15.6">
      <c r="A1446" s="18" t="s">
        <v>7</v>
      </c>
      <c r="C1446" s="25"/>
      <c r="D1446" s="26"/>
      <c r="E1446" s="26"/>
      <c r="F1446" s="26"/>
      <c r="G1446" s="26"/>
      <c r="H1446" s="26"/>
      <c r="I1446" s="26"/>
    </row>
    <row r="1447" spans="1:9">
      <c r="A1447" s="24" t="s">
        <v>8</v>
      </c>
      <c r="B1447" s="23" t="s">
        <v>4</v>
      </c>
      <c r="C1447" s="30" t="s">
        <v>9</v>
      </c>
      <c r="D1447" s="24" t="s">
        <v>6</v>
      </c>
      <c r="E1447" s="24" t="s">
        <v>81</v>
      </c>
      <c r="F1447" s="24" t="s">
        <v>10</v>
      </c>
      <c r="G1447" s="24" t="s">
        <v>2</v>
      </c>
      <c r="H1447" s="24" t="s">
        <v>5</v>
      </c>
      <c r="I1447" s="24" t="s">
        <v>11</v>
      </c>
    </row>
    <row r="1448" spans="1:9">
      <c r="A1448" s="13" t="s">
        <v>745</v>
      </c>
      <c r="B1448" s="13" t="s">
        <v>746</v>
      </c>
      <c r="C1448">
        <v>1</v>
      </c>
      <c r="D1448" t="s">
        <v>6</v>
      </c>
      <c r="G1448" t="s">
        <v>28</v>
      </c>
      <c r="H1448" t="s">
        <v>18</v>
      </c>
    </row>
    <row r="1449" spans="1:9">
      <c r="A1449" t="s">
        <v>27</v>
      </c>
      <c r="B1449" s="13" t="s">
        <v>20</v>
      </c>
      <c r="C1449" s="65">
        <v>191.99835548282837</v>
      </c>
      <c r="D1449" t="s">
        <v>19</v>
      </c>
      <c r="G1449" t="s">
        <v>28</v>
      </c>
      <c r="H1449" t="s">
        <v>12</v>
      </c>
      <c r="I1449" t="s">
        <v>753</v>
      </c>
    </row>
    <row r="1450" spans="1:9">
      <c r="A1450" t="s">
        <v>747</v>
      </c>
      <c r="B1450" t="s">
        <v>748</v>
      </c>
      <c r="C1450">
        <v>0.34714397042969852</v>
      </c>
      <c r="D1450" t="s">
        <v>6</v>
      </c>
      <c r="G1450" t="s">
        <v>96</v>
      </c>
      <c r="H1450" t="s">
        <v>12</v>
      </c>
      <c r="I1450" t="s">
        <v>753</v>
      </c>
    </row>
    <row r="1451" spans="1:9">
      <c r="A1451" t="s">
        <v>749</v>
      </c>
      <c r="B1451" t="s">
        <v>750</v>
      </c>
      <c r="C1451">
        <v>0.10335917312661498</v>
      </c>
      <c r="D1451" t="s">
        <v>6</v>
      </c>
      <c r="G1451" t="s">
        <v>96</v>
      </c>
      <c r="H1451" t="s">
        <v>12</v>
      </c>
      <c r="I1451" t="s">
        <v>753</v>
      </c>
    </row>
    <row r="1452" spans="1:9">
      <c r="A1452" t="s">
        <v>751</v>
      </c>
      <c r="B1452" t="s">
        <v>752</v>
      </c>
      <c r="C1452">
        <v>7.7519379844961239E-2</v>
      </c>
      <c r="D1452" t="s">
        <v>6</v>
      </c>
      <c r="G1452" t="s">
        <v>96</v>
      </c>
      <c r="H1452" t="s">
        <v>12</v>
      </c>
      <c r="I1452" t="s">
        <v>753</v>
      </c>
    </row>
    <row r="1453" spans="1:9">
      <c r="A1453" s="49"/>
      <c r="B1453" s="50"/>
      <c r="C1453" s="49"/>
      <c r="D1453" s="49"/>
      <c r="E1453" s="49"/>
      <c r="F1453" s="49"/>
      <c r="G1453" s="49"/>
      <c r="H1453" s="49"/>
      <c r="I1453" s="49"/>
    </row>
    <row r="1454" spans="1:9" ht="15.6">
      <c r="A1454" s="18" t="s">
        <v>1</v>
      </c>
      <c r="B1454" s="23" t="s">
        <v>754</v>
      </c>
    </row>
    <row r="1455" spans="1:9">
      <c r="A1455" s="24" t="s">
        <v>2</v>
      </c>
      <c r="B1455" s="13" t="s">
        <v>28</v>
      </c>
      <c r="H1455" s="55"/>
    </row>
    <row r="1456" spans="1:9">
      <c r="A1456" s="24" t="s">
        <v>3</v>
      </c>
      <c r="B1456" s="13">
        <v>1</v>
      </c>
      <c r="F1456" s="13"/>
      <c r="H1456" s="13"/>
    </row>
    <row r="1457" spans="1:9">
      <c r="A1457" s="24" t="s">
        <v>4</v>
      </c>
      <c r="B1457" s="13" t="s">
        <v>755</v>
      </c>
      <c r="F1457" s="13"/>
    </row>
    <row r="1458" spans="1:9">
      <c r="A1458" s="24" t="s">
        <v>5</v>
      </c>
      <c r="B1458" s="13" t="s">
        <v>59</v>
      </c>
      <c r="F1458" s="20"/>
    </row>
    <row r="1459" spans="1:9">
      <c r="A1459" s="24" t="s">
        <v>6</v>
      </c>
      <c r="B1459" s="13" t="s">
        <v>6</v>
      </c>
    </row>
    <row r="1460" spans="1:9">
      <c r="A1460" s="24" t="s">
        <v>57</v>
      </c>
    </row>
    <row r="1461" spans="1:9" ht="15.6">
      <c r="A1461" s="18" t="s">
        <v>7</v>
      </c>
      <c r="C1461" s="25"/>
      <c r="D1461" s="26"/>
      <c r="E1461" s="26"/>
      <c r="F1461" s="26"/>
      <c r="G1461" s="26"/>
      <c r="H1461" s="26"/>
      <c r="I1461" s="26"/>
    </row>
    <row r="1462" spans="1:9">
      <c r="A1462" s="24" t="s">
        <v>8</v>
      </c>
      <c r="B1462" s="23" t="s">
        <v>4</v>
      </c>
      <c r="C1462" s="30" t="s">
        <v>9</v>
      </c>
      <c r="D1462" s="24" t="s">
        <v>6</v>
      </c>
      <c r="E1462" s="24" t="s">
        <v>81</v>
      </c>
      <c r="F1462" s="24" t="s">
        <v>10</v>
      </c>
      <c r="G1462" s="24" t="s">
        <v>2</v>
      </c>
      <c r="H1462" s="24" t="s">
        <v>5</v>
      </c>
      <c r="I1462" s="24" t="s">
        <v>11</v>
      </c>
    </row>
    <row r="1463" spans="1:9">
      <c r="A1463" s="13" t="s">
        <v>754</v>
      </c>
      <c r="B1463" s="13" t="s">
        <v>755</v>
      </c>
      <c r="C1463">
        <v>1</v>
      </c>
      <c r="D1463" t="s">
        <v>6</v>
      </c>
      <c r="G1463" t="s">
        <v>28</v>
      </c>
      <c r="H1463" t="s">
        <v>18</v>
      </c>
    </row>
    <row r="1464" spans="1:9">
      <c r="A1464" s="13" t="s">
        <v>758</v>
      </c>
      <c r="B1464" s="13" t="s">
        <v>756</v>
      </c>
      <c r="C1464" s="65">
        <v>5025.4162915136185</v>
      </c>
      <c r="D1464" t="s">
        <v>757</v>
      </c>
      <c r="G1464" t="s">
        <v>28</v>
      </c>
      <c r="H1464" t="s">
        <v>12</v>
      </c>
    </row>
    <row r="1465" spans="1:9">
      <c r="B1465"/>
    </row>
    <row r="1466" spans="1:9">
      <c r="B1466"/>
    </row>
    <row r="1467" spans="1:9">
      <c r="B1467"/>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2025-08-27T13:16:53Z</dcterms:modified>
</cp:coreProperties>
</file>