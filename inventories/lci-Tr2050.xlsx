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1052" documentId="13_ncr:1_{D0F9393E-493D-4D41-96B2-57E4008F0D51}" xr6:coauthVersionLast="47" xr6:coauthVersionMax="47" xr10:uidLastSave="{CA45AAD1-F78C-4B10-A8EA-D86CA8AAC0B5}"/>
  <bookViews>
    <workbookView xWindow="-108" yWindow="-108"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1312" i="1" l="1"/>
  <c r="C1311" i="1"/>
  <c r="C1310" i="1"/>
  <c r="C1309" i="1"/>
  <c r="C1308" i="1"/>
  <c r="C1307" i="1"/>
  <c r="C1306" i="1"/>
  <c r="C1305" i="1"/>
  <c r="C1304" i="1"/>
  <c r="C1279" i="1"/>
  <c r="C1324" i="1"/>
  <c r="C1285" i="1"/>
  <c r="C1287" i="1"/>
  <c r="C1286" i="1"/>
  <c r="C1282" i="1"/>
  <c r="C1284" i="1"/>
  <c r="C1283" i="1"/>
  <c r="C1281" i="1"/>
  <c r="C1280" i="1"/>
  <c r="C934" i="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<sst xmlns="http://schemas.openxmlformats.org/spreadsheetml/2006/main" count="6031" uniqueCount="759">
  <si>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</si>
  <si>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</si>
  <si>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</si>
  <si>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</si>
  <si>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</si>
  <si>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</si>
  <si>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</si>
  <si>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</si>
  <si>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</si>
  <si>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</si>
  <si>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</si>
  <si>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</si>
  <si>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</si>
  <si>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</si>
  <si>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</si>
  <si>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</si>
  <si>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</si>
  <si>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</si>
  <si>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</si>
  <si>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</si>
  <si>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</si>
  <si>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</si>
  <si>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</si>
  <si>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</si>
  <si>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</si>
  <si>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</si>
  <si>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</si>
  <si>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</si>
  <si>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</si>
  <si>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</si>
  <si>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</si>
  <si>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</si>
  <si>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</si>
  <si>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</si>
  <si>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</si>
  <si>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</si>
  <si>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</si>
  <si>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</si>
  <si>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</si>
  <si>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</si>
  <si>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</si>
  <si>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</si>
  <si>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</si>
  <si>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</si>
  <si>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</si>
  <si>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</si>
  <si>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</si>
  <si>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</si>
  <si>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</si>
  <si>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</si>
  <si>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</si>
  <si>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</si>
  <si>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</si>
  <si>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</si>
  <si>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</si>
  <si>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</si>
  <si>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</si>
  <si>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</si>
  <si>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</si>
  <si>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</si>
  <si>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</si>
  <si>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</si>
  <si>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</si>
  <si>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</si>
  <si>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</si>
  <si>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</si>
  <si>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</si>
  <si>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</si>
  <si>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</si>
  <si>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</si>
  <si>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</si>
  <si>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</si>
  <si>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</si>
  <si>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</si>
  <si>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</si>
  <si>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</si>
  <si>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</si>
  <si>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</si>
  <si>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</si>
  <si>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</si>
  <si>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</si>
  <si>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</si>
  <si>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</si>
  <si>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</si>
  <si>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</si>
  <si>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</si>
  <si>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</si>
  <si>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</si>
  <si>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</si>
  <si>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</si>
  <si>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</si>
  <si>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</si>
  <si>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</si>
  <si>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</si>
  <si>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</si>
  <si>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</si>
  <si>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</si>
  <si>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</si>
  <si>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</si>
  <si>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</si>
  <si>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</si>
  <si>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</si>
  <si>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</si>
  <si>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</si>
  <si>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</si>
  <si>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</si>
  <si>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</si>
  <si>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</si>
  <si>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</si>
  <si>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</si>
  <si>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</si>
  <si>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</si>
  <si>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</si>
  <si>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</si>
  <si>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</si>
  <si>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</si>
  <si>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</si>
  <si>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</si>
  <si>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</si>
  <si>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</si>
  <si>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</si>
  <si>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</si>
  <si>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</si>
  <si>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</si>
  <si>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</si>
  <si>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</si>
  <si>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</si>
  <si>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</si>
  <si>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</si>
  <si>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</si>
  <si>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</si>
  <si>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</si>
  <si>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</si>
  <si>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</si>
  <si>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</si>
  <si>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</si>
  <si>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</si>
  <si>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</si>
  <si>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</si>
  <si>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</si>
  <si>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</si>
  <si>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</si>
  <si>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</si>
  <si>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</si>
  <si>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</si>
  <si>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</si>
  <si>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</si>
  <si>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</si>
  <si>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</si>
  <si>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</si>
  <si>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</si>
  <si>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</si>
  <si>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</si>
  <si>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</si>
  <si>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</si>
  <si>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</si>
  <si>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</si>
  <si>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</si>
  <si>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</si>
  <si>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</si>
  <si>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</si>
  <si>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</si>
  <si>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</si>
  <si>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</si>
  <si>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</si>
  <si>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</si>
  <si>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</si>
  <si>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</si>
  <si>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</si>
  <si>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</si>
  <si>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</si>
  <si>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</si>
  <si>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</si>
  <si>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</si>
  <si>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</si>
  <si>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</si>
  <si>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</si>
  <si>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</si>
  <si>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</si>
  <si>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</si>
  <si>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</si>
  <si>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</si>
  <si>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</si>
  <si>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</si>
  <si>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</si>
  <si>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</si>
  <si>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</si>
  <si>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</si>
  <si>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</si>
  <si>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</si>
  <si>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</si>
  <si>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</si>
  <si>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</si>
  <si>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</si>
  <si>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</si>
  <si>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</si>
  <si>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</si>
  <si>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</si>
  <si>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</si>
  <si>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</si>
  <si>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</si>
  <si>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</si>
  <si>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</si>
  <si>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</si>
  <si>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</si>
  <si>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</si>
  <si>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</si>
  <si>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</si>
  <si>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</si>
  <si>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</si>
  <si>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</si>
  <si>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</si>
  <si>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</si>
  <si>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</si>
  <si>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</si>
  <si>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</si>
  <si>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</si>
  <si>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</si>
  <si>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</si>
  <si>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</si>
  <si>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</si>
  <si>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</si>
  <si>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</si>
  <si>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</si>
  <si>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</si>
  <si>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</si>
  <si>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</si>
  <si>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</si>
  <si>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</si>
  <si>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</si>
  <si>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</si>
  <si>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</si>
  <si>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</si>
  <si>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</si>
  <si>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</si>
  <si>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</si>
  <si>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</si>
  <si>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</si>
  <si>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</si>
  <si>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</si>
  <si>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</si>
  <si>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</si>
  <si>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</si>
  <si>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</si>
  <si>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</si>
  <si>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</si>
  <si>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</si>
  <si>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</si>
  <si>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</si>
  <si>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</si>
  <si>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</si>
  <si>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</si>
  <si>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</si>
  <si>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</si>
  <si>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</si>
  <si>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</si>
  <si>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</si>
  <si>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</si>
  <si>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</si>
  <si>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</si>
  <si>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</si>
  <si>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</si>
  <si>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</si>
  <si>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</si>
  <si>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</si>
  <si>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</si>
  <si>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</si>
  <si>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</si>
  <si>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</si>
  <si>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</si>
  <si>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</si>
  <si>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</si>
  <si>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</si>
  <si>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</si>
  <si>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</si>
  <si>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</si>
  <si>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</si>
  <si>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</si>
  <si>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</si>
  <si>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</si>
  <si>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</si>
  <si>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</si>
  <si>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</si>
  <si>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</si>
  <si>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</si>
  <si>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</si>
  <si>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</si>
  <si>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</si>
  <si>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</si>
  <si>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</si>
  <si>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</si>
  <si>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</si>
  <si>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</si>
  <si>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</si>
  <si>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</si>
  <si>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</si>
  <si>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</si>
  <si>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</si>
  <si>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</si>
  <si>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</si>
  <si>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</si>
  <si>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</si>
  <si>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</si>
  <si>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</si>
  <si>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</si>
  <si>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</si>
  <si>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</si>
  <si>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</si>
  <si>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</si>
  <si>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</si>
  <si>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</si>
  <si>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</si>
  <si>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</si>
  <si>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</si>
  <si>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</si>
  <si>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</si>
  <si>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</si>
  <si>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</si>
  <si>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</si>
  <si>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</si>
  <si>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</si>
  <si>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</si>
  <si>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</si>
  <si>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</si>
  <si>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</si>
  <si>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</si>
  <si>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</si>
  <si>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</si>
  <si>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</si>
  <si>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</si>
  <si>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</si>
  <si>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</si>
  <si>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</si>
  <si>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</si>
  <si>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</si>
  <si>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</si>
  <si>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</si>
  <si>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</si>
  <si>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</si>
  <si>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</si>
  <si>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</si>
  <si>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</si>
  <si>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</si>
  <si>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</si>
  <si>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</si>
  <si>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</si>
  <si>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</si>
  <si>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</si>
  <si>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</si>
  <si>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</si>
  <si>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</si>
  <si>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</si>
  <si>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</si>
  <si>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</si>
  <si>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</si>
  <si>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</si>
  <si>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</si>
  <si>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</si>
  <si>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</si>
  <si>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</si>
  <si>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</si>
  <si>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</si>
  <si>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</si>
  <si>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</si>
  <si>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</si>
  <si>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</si>
  <si>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</si>
  <si>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</si>
  <si>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</si>
  <si>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</si>
  <si>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</si>
  <si>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</si>
  <si>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</si>
  <si>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</si>
  <si>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</si>
  <si>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</si>
  <si>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</si>
  <si>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</si>
  <si>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</si>
  <si>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</si>
  <si>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</si>
  <si>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</si>
  <si>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</si>
  <si>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</si>
  <si>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</si>
  <si>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</si>
  <si>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</si>
  <si>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</si>
  <si>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</si>
  <si>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</si>
  <si>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</si>
  <si>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</si>
  <si>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</si>
  <si>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</si>
  <si>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</si>
  <si>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</si>
  <si>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</si>
  <si>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</si>
  <si>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</si>
  <si>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</si>
  <si>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</si>
  <si>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</si>
  <si>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</si>
  <si>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</si>
  <si>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</si>
  <si>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</si>
  <si>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</si>
  <si>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</si>
  <si>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</si>
  <si>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</si>
  <si>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</si>
  <si>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</si>
  <si>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</si>
  <si>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</si>
  <si>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</si>
  <si>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</si>
  <si>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</si>
  <si>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</si>
  <si>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</si>
  <si>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</si>
  <si>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</si>
  <si>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</si>
  <si>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</si>
  <si>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</si>
  <si>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</si>
  <si>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</si>
  <si>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</si>
  <si>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</si>
  <si>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</si>
  <si>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</si>
  <si>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</si>
  <si>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</si>
  <si>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</si>
  <si>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</si>
  <si>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</si>
  <si>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</si>
  <si>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</si>
  <si>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</si>
  <si>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</si>
  <si>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</si>
  <si>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</si>
  <si>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</si>
  <si>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</si>
  <si>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</si>
  <si>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</si>
  <si>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</si>
  <si>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</si>
  <si>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</si>
  <si>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</si>
  <si>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</si>
  <si>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</si>
  <si>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</si>
  <si>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</si>
  <si>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</si>
  <si>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</si>
  <si>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</si>
  <si>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</si>
  <si>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</si>
  <si>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</si>
  <si>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</si>
  <si>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</si>
  <si>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</si>
  <si>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</si>
  <si>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</si>
  <si>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</si>
  <si>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</si>
  <si>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</si>
  <si>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</si>
  <si>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</si>
  <si>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</si>
  <si>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</si>
  <si>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</si>
  <si>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</si>
  <si>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</si>
  <si>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</si>
  <si>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</si>
  <si>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</si>
  <si>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</si>
  <si>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</si>
  <si>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</si>
  <si>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</si>
  <si>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</si>
  <si>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</si>
  <si>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</si>
  <si>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</si>
  <si>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</si>
  <si>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</si>
  <si>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</si>
  <si>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</si>
  <si>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</si>
  <si>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</si>
  <si>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</si>
  <si>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</si>
  <si>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</si>
  <si>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</si>
  <si>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</si>
  <si>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</si>
  <si>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</si>
  <si>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</si>
  <si>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</si>
  <si>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</si>
  <si>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</si>
  <si>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</si>
  <si>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</si>
  <si>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</si>
  <si>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</si>
  <si>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</si>
  <si>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</si>
  <si>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</si>
  <si>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</si>
  <si>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</si>
  <si>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</si>
  <si>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</si>
  <si>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</si>
  <si>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</si>
  <si>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</si>
  <si>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</si>
  <si>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</si>
  <si>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</si>
  <si>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</si>
  <si>
    <t>heat, biomethane</t>
  </si>
  <si>
    <t>Acetic acid</t>
  </si>
  <si>
    <t>Benzene</t>
  </si>
  <si>
    <t>Benzo(a)pyrene</t>
  </si>
  <si>
    <t>Dioxins, measured as 2,3,7,8-tetrachlorodibenzo-p-dioxin</t>
  </si>
  <si>
    <t>Formaldehyde</t>
  </si>
  <si>
    <t>Mercury II</t>
  </si>
  <si>
    <t>PAH, polycyclic aromatic hydrocarbons</t>
  </si>
  <si>
    <t>Particulate Matter, &lt; 2.5 um</t>
  </si>
  <si>
    <t>Pentane</t>
  </si>
  <si>
    <t>Propionic acid</t>
  </si>
  <si>
    <t>Toluene</t>
  </si>
  <si>
    <t>Nitrite</t>
  </si>
  <si>
    <t>Sulfate</t>
  </si>
  <si>
    <t>Sulfite</t>
  </si>
  <si>
    <t>heat production, natural gas, at boiler condensing modulating &lt;100kW</t>
  </si>
  <si>
    <t>heat, natural gas</t>
  </si>
  <si>
    <t>market for natural gas, high pressure</t>
  </si>
  <si>
    <t>cooking with LPG, Tr2050</t>
  </si>
  <si>
    <t>DLS cooking, LPG</t>
  </si>
  <si>
    <t>market for cookstove</t>
  </si>
  <si>
    <t>cookstove</t>
  </si>
  <si>
    <t>market for liquefied petroleum gas</t>
  </si>
  <si>
    <t>liquefied petroleum gas</t>
  </si>
  <si>
    <t>market for refrigerator</t>
  </si>
  <si>
    <t>refrigerator</t>
  </si>
  <si>
    <t>LHV of 45.5 MJ/kg</t>
  </si>
  <si>
    <t>Emissions factors from Punam et al. (2014): Environmental footprint of cooking fuels: A life cycle assessment of 10 fuel sources used in Indian households</t>
  </si>
  <si>
    <t>Organic carbon</t>
  </si>
  <si>
    <t>cooking with gas, Tr2050</t>
  </si>
  <si>
    <t>DLS cooking, gas</t>
  </si>
  <si>
    <t>natural gas, low pressure</t>
  </si>
  <si>
    <t>market for natural gas, low pressure</t>
  </si>
  <si>
    <t>cooking with electricity, Tr2050</t>
  </si>
  <si>
    <t>DLS cooking, electricity</t>
  </si>
  <si>
    <t>('biosphere3', 'a861cfae-a310-4e9d-b9eb-5d555c9a684c')</t>
  </si>
  <si>
    <t>EF from Life-Cycle-Assessment for Stoves and Ovens . Niels Jungbluth (1997)</t>
  </si>
  <si>
    <t>induction stove</t>
  </si>
  <si>
    <t>Kromand et al. (2025)</t>
  </si>
  <si>
    <t>induction stove production</t>
  </si>
  <si>
    <t>flat glass, coated</t>
  </si>
  <si>
    <t>tempering, flat glass</t>
  </si>
  <si>
    <t>market for aluminium, wrought alloy</t>
  </si>
  <si>
    <t>aluminium, wrought alloy</t>
  </si>
  <si>
    <t>market for copper, cathode</t>
  </si>
  <si>
    <t>copper, cathode</t>
  </si>
  <si>
    <t>silicone product</t>
  </si>
  <si>
    <t>market for silicone product</t>
  </si>
  <si>
    <t>market for integrated circuit, logic type</t>
  </si>
  <si>
    <t>integrated circuit, logic type</t>
  </si>
  <si>
    <t>wire drawing, copper</t>
  </si>
  <si>
    <t>flat glass production, coated</t>
  </si>
  <si>
    <t>food, diet composition</t>
  </si>
  <si>
    <t>market for red meat, live weight</t>
  </si>
  <si>
    <t>red meat, live weight</t>
  </si>
  <si>
    <t>market for swine for slaughtering, live weight</t>
  </si>
  <si>
    <t>swine for slaughtering, live weight</t>
  </si>
  <si>
    <t>market for chicken for slaughtering, live weight</t>
  </si>
  <si>
    <t>chicken for slaughtering, live weight</t>
  </si>
  <si>
    <t>market for cow milk</t>
  </si>
  <si>
    <t>cow milk</t>
  </si>
  <si>
    <t>market for yogurt, from cow milk</t>
  </si>
  <si>
    <t>yogurt, from cow milk</t>
  </si>
  <si>
    <t>market for marine fish</t>
  </si>
  <si>
    <t>marine fish</t>
  </si>
  <si>
    <t>market for trout</t>
  </si>
  <si>
    <t>trout</t>
  </si>
  <si>
    <t>market for apple</t>
  </si>
  <si>
    <t>apple</t>
  </si>
  <si>
    <t>market for apricot</t>
  </si>
  <si>
    <t>apricot</t>
  </si>
  <si>
    <t>market for aubergine</t>
  </si>
  <si>
    <t>aubergine</t>
  </si>
  <si>
    <t>market for avocado</t>
  </si>
  <si>
    <t>avocado</t>
  </si>
  <si>
    <t>market for banana</t>
  </si>
  <si>
    <t>banana</t>
  </si>
  <si>
    <t>market for grape</t>
  </si>
  <si>
    <t>grape</t>
  </si>
  <si>
    <t>market for kiwi</t>
  </si>
  <si>
    <t>kiwi</t>
  </si>
  <si>
    <t>market for lemon</t>
  </si>
  <si>
    <t>lemon</t>
  </si>
  <si>
    <t>market for mandarin, fresh grade</t>
  </si>
  <si>
    <t>mandarin, fresh grade</t>
  </si>
  <si>
    <t>market for mango</t>
  </si>
  <si>
    <t>mango</t>
  </si>
  <si>
    <t>market for melon</t>
  </si>
  <si>
    <t>melon</t>
  </si>
  <si>
    <t>market for olive</t>
  </si>
  <si>
    <t>olive</t>
  </si>
  <si>
    <t>market for orange, fresh grade</t>
  </si>
  <si>
    <t>orange, fresh grade</t>
  </si>
  <si>
    <t>market for pineapple</t>
  </si>
  <si>
    <t>pineapple</t>
  </si>
  <si>
    <t>market for peach</t>
  </si>
  <si>
    <t>peach</t>
  </si>
  <si>
    <t>market for pomegranate</t>
  </si>
  <si>
    <t>pomegranate</t>
  </si>
  <si>
    <t>market for papaya</t>
  </si>
  <si>
    <t>papaya</t>
  </si>
  <si>
    <t>market for pear</t>
  </si>
  <si>
    <t>pear</t>
  </si>
  <si>
    <t>market for palm date</t>
  </si>
  <si>
    <t>palm date</t>
  </si>
  <si>
    <t>market for strawberry</t>
  </si>
  <si>
    <t>strawberry</t>
  </si>
  <si>
    <t>market for broccoli</t>
  </si>
  <si>
    <t>broccoli</t>
  </si>
  <si>
    <t>market for cabbage white</t>
  </si>
  <si>
    <t>cabbage white</t>
  </si>
  <si>
    <t>market for fennel</t>
  </si>
  <si>
    <t>fennel</t>
  </si>
  <si>
    <t>market for green asparagus</t>
  </si>
  <si>
    <t>green asparagus</t>
  </si>
  <si>
    <t>market for iceberg lettuce</t>
  </si>
  <si>
    <t>iceberg lettuce</t>
  </si>
  <si>
    <t>market for spinach</t>
  </si>
  <si>
    <t>spinach</t>
  </si>
  <si>
    <t>market for bell pepper</t>
  </si>
  <si>
    <t>bell pepper</t>
  </si>
  <si>
    <t>market for carrot</t>
  </si>
  <si>
    <t>carrot</t>
  </si>
  <si>
    <t>market for radish</t>
  </si>
  <si>
    <t>radish</t>
  </si>
  <si>
    <t>market for tomato, fresh grade</t>
  </si>
  <si>
    <t>tomato, fresh grade</t>
  </si>
  <si>
    <t>market for onion</t>
  </si>
  <si>
    <t>onion</t>
  </si>
  <si>
    <t>market for potato</t>
  </si>
  <si>
    <t>potato</t>
  </si>
  <si>
    <t>market for zucchini</t>
  </si>
  <si>
    <t>zucchini</t>
  </si>
  <si>
    <t>market for white asparagus</t>
  </si>
  <si>
    <t>white asparagus</t>
  </si>
  <si>
    <t>market for protein pea</t>
  </si>
  <si>
    <t>protein pea</t>
  </si>
  <si>
    <t>market for chickpea</t>
  </si>
  <si>
    <t>chickpea</t>
  </si>
  <si>
    <t>market for fava bean</t>
  </si>
  <si>
    <t>fava bean</t>
  </si>
  <si>
    <t>market for red kidney bean</t>
  </si>
  <si>
    <t>red kidney bean</t>
  </si>
  <si>
    <t>market for lentil</t>
  </si>
  <si>
    <t>lentil</t>
  </si>
  <si>
    <t>market for rice, basmati</t>
  </si>
  <si>
    <t>rice, basmati</t>
  </si>
  <si>
    <t>market for wheat grain</t>
  </si>
  <si>
    <t>wheat grain</t>
  </si>
  <si>
    <t>market for oat grain</t>
  </si>
  <si>
    <t>oat grain</t>
  </si>
  <si>
    <t>market for barley grain</t>
  </si>
  <si>
    <t>market for maize grain</t>
  </si>
  <si>
    <t>maize grain</t>
  </si>
  <si>
    <t>market for rye grain</t>
  </si>
  <si>
    <t>market for vegetable oil, refined</t>
  </si>
  <si>
    <t>vegetable oil, refined</t>
  </si>
  <si>
    <t>market for soybean beverage</t>
  </si>
  <si>
    <t>soybean beverage</t>
  </si>
  <si>
    <t>market for tofu</t>
  </si>
  <si>
    <t>tofu</t>
  </si>
  <si>
    <t>market for sugar, from sugar beet</t>
  </si>
  <si>
    <t>sugar, from sugar beet</t>
  </si>
  <si>
    <t>market for sugar, from sugarcane</t>
  </si>
  <si>
    <t>sugar, from sugarcane</t>
  </si>
  <si>
    <t>Definition of DLS for nutrition according to the S1 narrative. The LCI refers to the necessary amount of food per capita and per year</t>
  </si>
  <si>
    <t>Food</t>
  </si>
  <si>
    <t>food production and provisioning, Tr2050</t>
  </si>
  <si>
    <t>shelter</t>
  </si>
  <si>
    <t>market for shelter DLS, Tr2050</t>
  </si>
  <si>
    <t>market for heat shelter, Tr2050</t>
  </si>
  <si>
    <t>Illumination</t>
  </si>
  <si>
    <t>Space heating and cooling</t>
  </si>
  <si>
    <t>market for compact fluorescent lamp</t>
  </si>
  <si>
    <t>compact fluorescent lamp</t>
  </si>
  <si>
    <t>market for cement, Portland</t>
  </si>
  <si>
    <t>cement, Portland</t>
  </si>
  <si>
    <t>market for kraft paper</t>
  </si>
  <si>
    <t>kraft paper</t>
  </si>
  <si>
    <t>market for sawnwood, beam, softwood, raw, dried (u=10%)</t>
  </si>
  <si>
    <t>sawnwood, beam, softwood, raw, dried (u=10%)</t>
  </si>
  <si>
    <t>market for concrete, 30MPa</t>
  </si>
  <si>
    <t>concrete, 30MPa</t>
  </si>
  <si>
    <t>market for steel, unalloyed</t>
  </si>
  <si>
    <t>steel, unalloyed</t>
  </si>
  <si>
    <t>litre</t>
  </si>
  <si>
    <t>market for clothing DLS, Tr2050</t>
  </si>
  <si>
    <t>clothing</t>
  </si>
  <si>
    <t>market for washing machine</t>
  </si>
  <si>
    <t>market for textile, woven cotton</t>
  </si>
  <si>
    <t>market for textile, knit cotton</t>
  </si>
  <si>
    <t>market for textile, silk</t>
  </si>
  <si>
    <t>market for textile, nonwoven polypropylene</t>
  </si>
  <si>
    <t>market for textile, nonwoven polyester</t>
  </si>
  <si>
    <t>market for textile, kenaf</t>
  </si>
  <si>
    <t>market for textile, jute</t>
  </si>
  <si>
    <t>market for synthetic rubber</t>
  </si>
  <si>
    <t>sheep production, for wool</t>
  </si>
  <si>
    <t>washing machine</t>
  </si>
  <si>
    <t>textile, woven cotton</t>
  </si>
  <si>
    <t>textile, knit cotton</t>
  </si>
  <si>
    <t>textile, silk</t>
  </si>
  <si>
    <t>textile, nonwoven polypropylene</t>
  </si>
  <si>
    <t>textile, nonwoven polyester</t>
  </si>
  <si>
    <t>textile, kenaf</t>
  </si>
  <si>
    <t>textile, jute</t>
  </si>
  <si>
    <t>synthetic rubber</t>
  </si>
  <si>
    <t>sheep fleece in the grease</t>
  </si>
  <si>
    <t>market for collective services DLS, Tr2050</t>
  </si>
  <si>
    <t>collective services</t>
  </si>
  <si>
    <t>market for heat non-residential, Tr2050</t>
  </si>
  <si>
    <t>market for clay brick</t>
  </si>
  <si>
    <t>clay brick</t>
  </si>
  <si>
    <t>Vélez-Henao et al. (2023)</t>
  </si>
  <si>
    <t>market for healthcare DLS, Tr2050</t>
  </si>
  <si>
    <t>healthcare</t>
  </si>
  <si>
    <t>market for education DLS, Tr2050</t>
  </si>
  <si>
    <t>education</t>
  </si>
  <si>
    <t>market for hygiene DLS, Tr2050</t>
  </si>
  <si>
    <t>hygiene</t>
  </si>
  <si>
    <t>market group for tap water</t>
  </si>
  <si>
    <t>market for wastewater, average</t>
  </si>
  <si>
    <t>market for EoL, Tr2050</t>
  </si>
  <si>
    <t>waste treatment</t>
  </si>
  <si>
    <t>EoL composition based on ADEME Transition2050</t>
  </si>
  <si>
    <t>market for communication DLS, Tr2050</t>
  </si>
  <si>
    <t>communication</t>
  </si>
  <si>
    <t>market for consumer electronics, mobile device, smartphone</t>
  </si>
  <si>
    <t>consumer electronics, mobile device, smartphone</t>
  </si>
  <si>
    <t>market for computer, laptop</t>
  </si>
  <si>
    <t>computer, laptop</t>
  </si>
  <si>
    <t>market for router, internet</t>
  </si>
  <si>
    <t>router, internet</t>
  </si>
  <si>
    <t>Scaled based on Vélez-Henao et al. (2023)</t>
  </si>
  <si>
    <t>market for mobility DLS, Tr2050</t>
  </si>
  <si>
    <t>mobility</t>
  </si>
  <si>
    <t>Scaled to 1 pkm from "GENESIS_2030_conventional_Base" (Thonemann et al., 2024) considering kerosene consumption and infrastructure in ecoinvent 391</t>
  </si>
  <si>
    <t>Replaced by transport market from ADEME scenarios once the database generated</t>
  </si>
  <si>
    <t>transport, passenger train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</si>
</sst>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E+00"/>
    <numFmt numFmtId="165" formatCode="0.000"/>
    <numFmt numFmtId="166" formatCode="0.0000000000"/>
    <numFmt numFmtId="167" formatCode="0.0000"/>
    <numFmt numFmtId="168" formatCode="0.000%"/>
    <numFmt numFmtId="169" formatCode="0.00000"/>
    <numFmt numFmtId="170" formatCode="0.0000E+00"/>
    <numFmt numFmtId="171" formatCod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6">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0" fontId="12" fillId="0" borderId="0" xfId="0" applyNumberFormat="1" applyFont="1" applyAlignment="1">
      <alignment horizontal="left"/>
    </xf>
    <xf numFmtId="2" fontId="12" fillId="0" borderId="0" xfId="0" applyNumberFormat="1" applyFont="1" applyAlignment="1">
      <alignment horizontal="right"/>
    </xf>
    <xf numFmtId="167" fontId="0" fillId="0" borderId="0" xfId="0" applyNumberFormat="1"/>
    <xf numFmtId="171" fontId="0" fillId="0" borderId="0" xfId="0" applyNumberFormat="1"/>
    <xf numFmtId="2" fontId="12" fillId="0" borderId="0" xfId="0" applyNumberFormat="1" applyFont="1"/>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467"/>
  <sheetViews>
    <sheetView tabSelected="1" topLeftCell="A1449" zoomScaleNormal="100" workbookViewId="0">
      <selection activeCell="A1460" sqref="A1460"/>
    </sheetView>
  </sheetViews>
  <sheetFormatPr defaultColWidth="8.88671875" defaultRowHeight="14.4"/>
  <cols>
    <col min="1" max="1" width="73.109375" customWidth="1"/>
    <col min="2" max="2" width="18.5546875" style="13"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109.664062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6">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6">
      <c r="A13" s="18" t="s">
        <v>7</v>
      </c>
      <c r="B13"/>
      <c r="M13" t="s">
        <v>55</v>
      </c>
    </row>
    <row r="14" spans="1:14" ht="15.6">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6">
      <c r="A48" s="2" t="s">
        <v>1</v>
      </c>
      <c r="B48" s="23" t="s">
        <v>100</v>
      </c>
      <c r="C48" s="2"/>
      <c r="D48" s="23"/>
      <c r="E48" s="2"/>
      <c r="F48" s="23"/>
      <c r="G48" s="2"/>
      <c r="H48" s="23"/>
      <c r="K48" s="16"/>
      <c r="L48" s="16"/>
      <c r="M48" s="16"/>
      <c r="N48" s="16"/>
      <c r="O48" s="16"/>
      <c r="P48" s="16"/>
    </row>
    <row r="49" spans="1:20" s="15" customFormat="1" ht="15.6">
      <c r="A49" s="2" t="s">
        <v>3</v>
      </c>
      <c r="B49">
        <v>1</v>
      </c>
      <c r="C49" s="2"/>
      <c r="D49" s="23"/>
      <c r="E49" s="2"/>
      <c r="F49" s="23"/>
      <c r="G49" s="2"/>
      <c r="H49" s="23"/>
      <c r="K49" s="16"/>
      <c r="L49" s="16"/>
      <c r="M49" s="16"/>
      <c r="N49" s="16"/>
      <c r="O49" s="16"/>
      <c r="P49" s="16"/>
    </row>
    <row r="50" spans="1:20" s="15" customFormat="1" ht="15.6">
      <c r="A50" s="2" t="s">
        <v>11</v>
      </c>
      <c r="B50" t="s">
        <v>37</v>
      </c>
      <c r="C50" s="2"/>
      <c r="D50" s="23"/>
      <c r="E50" s="2"/>
      <c r="F50" s="23"/>
      <c r="G50" s="2"/>
      <c r="H50" s="23"/>
      <c r="K50" s="16"/>
      <c r="L50" s="16"/>
      <c r="M50" s="16"/>
      <c r="N50" s="16"/>
      <c r="O50" s="16"/>
      <c r="P50" s="16"/>
    </row>
    <row r="51" spans="1:20" s="15" customFormat="1" ht="15.6">
      <c r="A51" s="2" t="s">
        <v>4</v>
      </c>
      <c r="B51" t="s">
        <v>38</v>
      </c>
      <c r="C51" s="2"/>
      <c r="D51" s="23"/>
      <c r="E51" s="2"/>
      <c r="F51" s="23"/>
      <c r="G51" s="2"/>
      <c r="H51" s="23"/>
      <c r="K51" s="16"/>
      <c r="L51" s="16"/>
      <c r="M51" s="16"/>
      <c r="N51" s="16"/>
      <c r="O51" s="16"/>
      <c r="P51" s="16"/>
    </row>
    <row r="52" spans="1:20" s="15" customFormat="1" ht="15.6">
      <c r="A52" s="2" t="s">
        <v>2</v>
      </c>
      <c r="B52" t="s">
        <v>28</v>
      </c>
      <c r="C52" s="2"/>
      <c r="D52" s="23"/>
      <c r="E52" s="2"/>
      <c r="F52" s="23"/>
      <c r="G52" s="2"/>
      <c r="H52" s="23"/>
      <c r="K52" s="16"/>
      <c r="L52" s="16"/>
      <c r="M52" s="16"/>
      <c r="N52" s="16"/>
      <c r="O52" s="16"/>
      <c r="P52" s="16"/>
    </row>
    <row r="53" spans="1:20" s="15" customFormat="1" ht="15.6">
      <c r="A53" s="2" t="s">
        <v>6</v>
      </c>
      <c r="B53" t="s">
        <v>13</v>
      </c>
      <c r="C53" s="2"/>
      <c r="D53" s="23"/>
      <c r="E53" s="2"/>
      <c r="F53" s="23"/>
      <c r="G53" s="2"/>
      <c r="H53" s="23"/>
      <c r="I53" s="17"/>
      <c r="J53" s="17"/>
      <c r="K53" s="16"/>
      <c r="L53" s="16"/>
      <c r="M53" s="16"/>
      <c r="N53" s="16"/>
      <c r="O53" s="16"/>
      <c r="P53" s="16"/>
    </row>
    <row r="54" spans="1:20" s="15" customFormat="1" ht="15.6">
      <c r="A54" s="2" t="s">
        <v>7</v>
      </c>
      <c r="B54" s="23"/>
      <c r="C54" s="2"/>
      <c r="D54" s="23"/>
      <c r="E54" s="2"/>
      <c r="F54" s="23"/>
      <c r="G54" s="2"/>
      <c r="H54" s="23"/>
      <c r="I54" s="14"/>
      <c r="J54" s="14"/>
      <c r="K54" s="16"/>
      <c r="L54" s="16"/>
      <c r="M54" s="16"/>
      <c r="N54" s="16"/>
      <c r="O54" s="16"/>
      <c r="P54" s="16"/>
    </row>
    <row r="55" spans="1:20" s="15" customFormat="1" ht="15.6">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6">
      <c r="A56" t="s">
        <v>54</v>
      </c>
      <c r="B56">
        <v>1</v>
      </c>
      <c r="C56" t="str">
        <f>B52</f>
        <v>FR</v>
      </c>
      <c r="D56" t="str">
        <f>B53</f>
        <v>kilogram</v>
      </c>
      <c r="E56"/>
      <c r="F56" t="s">
        <v>18</v>
      </c>
      <c r="G56" t="s">
        <v>38</v>
      </c>
      <c r="H56"/>
      <c r="I56" s="14"/>
      <c r="K56" s="16"/>
      <c r="L56" s="16"/>
      <c r="M56" s="16"/>
      <c r="N56" s="16"/>
      <c r="O56" s="16"/>
      <c r="P56" s="16"/>
      <c r="T56"/>
    </row>
    <row r="57" spans="1:20" s="15" customFormat="1" ht="15.6">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6">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6">
      <c r="A59" t="s">
        <v>43</v>
      </c>
      <c r="B59">
        <f>B57*-1</f>
        <v>-1.3498920086393089E-6</v>
      </c>
      <c r="C59" t="s">
        <v>36</v>
      </c>
      <c r="D59" t="s">
        <v>6</v>
      </c>
      <c r="E59"/>
      <c r="F59" t="s">
        <v>12</v>
      </c>
      <c r="G59" t="s">
        <v>44</v>
      </c>
      <c r="H59" t="s">
        <v>45</v>
      </c>
      <c r="J59"/>
      <c r="K59" s="20"/>
      <c r="L59" s="20"/>
      <c r="M59" s="20"/>
      <c r="N59" s="20"/>
      <c r="O59" s="20"/>
      <c r="P59" s="20"/>
      <c r="Q59"/>
      <c r="R59"/>
    </row>
    <row r="60" spans="1:20" s="15" customFormat="1" ht="15.6">
      <c r="A60" t="s">
        <v>46</v>
      </c>
      <c r="B60">
        <f>-1*B58</f>
        <v>-3.3747300215982723E-7</v>
      </c>
      <c r="C60" t="s">
        <v>36</v>
      </c>
      <c r="D60" t="s">
        <v>6</v>
      </c>
      <c r="E60"/>
      <c r="F60" t="s">
        <v>12</v>
      </c>
      <c r="G60" t="s">
        <v>47</v>
      </c>
      <c r="H60" t="s">
        <v>48</v>
      </c>
      <c r="J60"/>
      <c r="K60" s="20"/>
      <c r="L60" s="20"/>
      <c r="M60" s="20"/>
      <c r="N60" s="20"/>
      <c r="O60" s="20"/>
      <c r="P60" s="20"/>
      <c r="Q60"/>
      <c r="R60"/>
    </row>
    <row r="61" spans="1:20" s="15" customFormat="1" ht="15.6">
      <c r="A61" t="s">
        <v>27</v>
      </c>
      <c r="B61">
        <v>54</v>
      </c>
      <c r="C61" t="s">
        <v>28</v>
      </c>
      <c r="D61" t="s">
        <v>19</v>
      </c>
      <c r="E61"/>
      <c r="F61" t="s">
        <v>12</v>
      </c>
      <c r="G61" t="s">
        <v>20</v>
      </c>
      <c r="H61" t="s">
        <v>49</v>
      </c>
      <c r="J61"/>
      <c r="K61" s="20"/>
      <c r="L61" s="20"/>
      <c r="M61" s="20"/>
      <c r="N61" s="20"/>
      <c r="O61" s="20"/>
      <c r="P61" s="20"/>
      <c r="Q61"/>
      <c r="R61"/>
    </row>
    <row r="62" spans="1:20" s="15" customFormat="1" ht="15.6">
      <c r="A62" t="s">
        <v>21</v>
      </c>
      <c r="B62">
        <v>14</v>
      </c>
      <c r="C62" t="s">
        <v>22</v>
      </c>
      <c r="D62" t="s">
        <v>13</v>
      </c>
      <c r="E62"/>
      <c r="F62" t="s">
        <v>12</v>
      </c>
      <c r="G62" t="s">
        <v>23</v>
      </c>
      <c r="H62" t="s">
        <v>50</v>
      </c>
      <c r="J62"/>
      <c r="K62" s="20"/>
      <c r="L62" s="20"/>
      <c r="M62" s="20"/>
      <c r="N62" s="20"/>
      <c r="O62" s="20"/>
      <c r="P62" s="20"/>
      <c r="Q62"/>
      <c r="R62"/>
    </row>
    <row r="63" spans="1:20" s="15" customFormat="1" ht="15.6">
      <c r="A63" t="s">
        <v>24</v>
      </c>
      <c r="B63">
        <v>8</v>
      </c>
      <c r="C63"/>
      <c r="D63" t="s">
        <v>13</v>
      </c>
      <c r="E63" t="s">
        <v>25</v>
      </c>
      <c r="F63" t="s">
        <v>15</v>
      </c>
      <c r="G63"/>
      <c r="H63"/>
      <c r="J63"/>
      <c r="K63" s="20"/>
      <c r="L63" s="20"/>
      <c r="M63" s="20"/>
      <c r="N63" s="20"/>
      <c r="O63" s="20"/>
      <c r="P63" s="20"/>
      <c r="Q63" s="20"/>
      <c r="R63"/>
    </row>
    <row r="64" spans="1:20" s="15" customFormat="1" ht="15.6">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6">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6">
      <c r="A74" s="18" t="s">
        <v>7</v>
      </c>
      <c r="B74"/>
    </row>
    <row r="75" spans="1:34" ht="15.6">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293</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294</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295</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296</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60">
        <v>15.689995645856518</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3.247247405232923E-7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1.1855936971288602E-6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2.2239993029257072</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0.26292258847160394</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61">
        <v>1.3893424416195083E-2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1.2513379647999996E-4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6.5171176573999984E-6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3.9102017891999988E-5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6.5171176573999986E-5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5.2137170609999988E-6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1.8248296401999994E-11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297</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6.2589002239169123</v>
      </c>
      <c r="D182" s="26" t="s">
        <v>13</v>
      </c>
      <c r="E182" s="31" t="s">
        <v>122</v>
      </c>
      <c r="F182" s="31"/>
      <c r="G182" s="31" t="s">
        <v>28</v>
      </c>
      <c r="H182" s="31" t="s">
        <v>12</v>
      </c>
      <c r="I182" s="31" t="s">
        <v>147</v>
      </c>
      <c r="J182" s="31"/>
    </row>
    <row r="183" spans="1:34">
      <c r="A183" s="31" t="s">
        <v>27</v>
      </c>
      <c r="B183" s="31" t="s">
        <v>20</v>
      </c>
      <c r="C183" s="32">
        <v>0.14146605366955101</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3.247247405232923E-7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1.2256967831830117E-6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2.2501844941320921</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0.26517570216687181</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1.4363373941313859E-2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1.2513379647999999E-4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6.5171176573999993E-6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3.9102017891999994E-5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6.5171176573999999E-5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5.2137170609999988E-6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1.8248296401999997E-11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298</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254</v>
      </c>
      <c r="B206" s="26" t="s">
        <v>253</v>
      </c>
      <c r="C206" s="32">
        <v>5.225162630331126</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3.247247405232923E-7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1.2350901673028656E-6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2.2507113058251527</v>
      </c>
      <c r="D210" s="26" t="s">
        <v>13</v>
      </c>
      <c r="E210" s="26" t="s">
        <v>83</v>
      </c>
      <c r="F210" s="26" t="s">
        <v>124</v>
      </c>
      <c r="G210" s="26"/>
      <c r="H210" s="26" t="s">
        <v>15</v>
      </c>
      <c r="I210" s="26" t="s">
        <v>137</v>
      </c>
    </row>
    <row r="211" spans="1:34">
      <c r="A211" s="31" t="s">
        <v>138</v>
      </c>
      <c r="B211" s="34"/>
      <c r="C211" s="32">
        <v>0.26494432147422625</v>
      </c>
      <c r="D211" s="26" t="s">
        <v>13</v>
      </c>
      <c r="E211" s="26" t="s">
        <v>83</v>
      </c>
      <c r="F211" s="31" t="s">
        <v>109</v>
      </c>
      <c r="G211" s="31"/>
      <c r="H211" s="26" t="s">
        <v>15</v>
      </c>
      <c r="I211" s="26" t="s">
        <v>139</v>
      </c>
    </row>
    <row r="212" spans="1:34">
      <c r="A212" s="31" t="s">
        <v>110</v>
      </c>
      <c r="B212" s="31"/>
      <c r="C212" s="32">
        <v>1.4473450667090593E-2</v>
      </c>
      <c r="D212" s="26" t="s">
        <v>13</v>
      </c>
      <c r="E212" s="26" t="s">
        <v>83</v>
      </c>
      <c r="F212" s="31" t="s">
        <v>109</v>
      </c>
      <c r="G212" s="31"/>
      <c r="H212" s="26" t="s">
        <v>15</v>
      </c>
      <c r="I212" s="26" t="s">
        <v>139</v>
      </c>
    </row>
    <row r="213" spans="1:34">
      <c r="A213" s="31" t="s">
        <v>140</v>
      </c>
      <c r="B213" s="31"/>
      <c r="C213" s="25">
        <v>1.2513379647999999E-4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6.5171176573999993E-6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3.9102017891999994E-5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6.5171176573999999E-5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5.2137170609999988E-6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1.8248296401999997E-11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299</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6.1022392103916498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t="s">
        <v>131</v>
      </c>
      <c r="F231" s="31"/>
      <c r="G231" s="31" t="s">
        <v>28</v>
      </c>
      <c r="H231" s="31" t="s">
        <v>12</v>
      </c>
      <c r="I231" s="31"/>
      <c r="J231" s="31"/>
    </row>
    <row r="232" spans="1:34">
      <c r="A232" s="26" t="s">
        <v>132</v>
      </c>
      <c r="B232" s="31" t="s">
        <v>133</v>
      </c>
      <c r="C232" s="25">
        <v>3.247247405232923E-7</v>
      </c>
      <c r="D232" s="26" t="s">
        <v>6</v>
      </c>
      <c r="E232" s="31" t="s">
        <v>131</v>
      </c>
      <c r="F232" s="31"/>
      <c r="G232" s="31" t="s">
        <v>134</v>
      </c>
      <c r="H232" s="31" t="s">
        <v>12</v>
      </c>
      <c r="I232" s="39"/>
      <c r="J232" s="31"/>
    </row>
    <row r="233" spans="1:34">
      <c r="A233" s="31" t="s">
        <v>135</v>
      </c>
      <c r="B233" s="31" t="s">
        <v>136</v>
      </c>
      <c r="C233" s="25">
        <v>1.2308230744864527E-6</v>
      </c>
      <c r="D233" s="26" t="s">
        <v>6</v>
      </c>
      <c r="E233" s="31" t="s">
        <v>131</v>
      </c>
      <c r="F233" s="31"/>
      <c r="G233" s="31" t="s">
        <v>96</v>
      </c>
      <c r="H233" s="31" t="s">
        <v>12</v>
      </c>
      <c r="I233" s="31" t="s">
        <v>148</v>
      </c>
      <c r="J233" s="31"/>
    </row>
    <row r="234" spans="1:34">
      <c r="A234" s="25" t="s">
        <v>123</v>
      </c>
      <c r="B234" s="26"/>
      <c r="C234" s="32">
        <v>2.2499280507950932</v>
      </c>
      <c r="D234" s="26" t="s">
        <v>13</v>
      </c>
      <c r="E234" s="26" t="s">
        <v>83</v>
      </c>
      <c r="F234" s="26" t="s">
        <v>124</v>
      </c>
      <c r="G234" s="26"/>
      <c r="H234" s="26" t="s">
        <v>15</v>
      </c>
      <c r="I234" s="26" t="s">
        <v>137</v>
      </c>
    </row>
    <row r="235" spans="1:34">
      <c r="A235" s="31" t="s">
        <v>138</v>
      </c>
      <c r="B235" s="34"/>
      <c r="C235" s="32">
        <v>0.26497577998505933</v>
      </c>
      <c r="D235" s="26" t="s">
        <v>13</v>
      </c>
      <c r="E235" s="26" t="s">
        <v>83</v>
      </c>
      <c r="F235" s="31" t="s">
        <v>109</v>
      </c>
      <c r="G235" s="31"/>
      <c r="H235" s="26" t="s">
        <v>15</v>
      </c>
      <c r="I235" s="26" t="s">
        <v>139</v>
      </c>
    </row>
    <row r="236" spans="1:34">
      <c r="A236" s="31" t="s">
        <v>110</v>
      </c>
      <c r="B236" s="31"/>
      <c r="C236" s="32">
        <v>1.4423446579125811E-2</v>
      </c>
      <c r="D236" s="26" t="s">
        <v>13</v>
      </c>
      <c r="E236" s="26" t="s">
        <v>83</v>
      </c>
      <c r="F236" s="31" t="s">
        <v>109</v>
      </c>
      <c r="G236" s="31"/>
      <c r="H236" s="26" t="s">
        <v>15</v>
      </c>
      <c r="I236" s="26" t="s">
        <v>139</v>
      </c>
    </row>
    <row r="237" spans="1:34">
      <c r="A237" s="31" t="s">
        <v>140</v>
      </c>
      <c r="B237" s="31"/>
      <c r="C237" s="25">
        <v>1.2513379647999996E-4</v>
      </c>
      <c r="D237" s="26" t="s">
        <v>13</v>
      </c>
      <c r="E237" s="26" t="s">
        <v>83</v>
      </c>
      <c r="F237" s="31" t="s">
        <v>109</v>
      </c>
      <c r="G237" s="31"/>
      <c r="H237" s="26" t="s">
        <v>15</v>
      </c>
      <c r="I237" s="26" t="s">
        <v>141</v>
      </c>
      <c r="J237" s="31"/>
    </row>
    <row r="238" spans="1:34">
      <c r="A238" s="31" t="s">
        <v>85</v>
      </c>
      <c r="B238" s="31"/>
      <c r="C238" s="25">
        <v>6.5171176573999984E-6</v>
      </c>
      <c r="D238" s="26" t="s">
        <v>13</v>
      </c>
      <c r="E238" s="26" t="s">
        <v>83</v>
      </c>
      <c r="F238" s="31" t="s">
        <v>109</v>
      </c>
      <c r="G238" s="31"/>
      <c r="H238" s="26" t="s">
        <v>15</v>
      </c>
      <c r="I238" s="26" t="s">
        <v>141</v>
      </c>
      <c r="J238" s="31"/>
    </row>
    <row r="239" spans="1:34">
      <c r="A239" s="31" t="s">
        <v>87</v>
      </c>
      <c r="B239" s="31"/>
      <c r="C239" s="25">
        <v>3.9102017891999988E-5</v>
      </c>
      <c r="D239" s="26" t="s">
        <v>13</v>
      </c>
      <c r="E239" s="26" t="s">
        <v>83</v>
      </c>
      <c r="F239" s="31" t="s">
        <v>109</v>
      </c>
      <c r="G239" s="31"/>
      <c r="H239" s="26" t="s">
        <v>15</v>
      </c>
      <c r="I239" s="26" t="s">
        <v>141</v>
      </c>
      <c r="J239" s="31"/>
    </row>
    <row r="240" spans="1:34">
      <c r="A240" s="31" t="s">
        <v>89</v>
      </c>
      <c r="B240" s="31"/>
      <c r="C240" s="25">
        <v>6.5171176573999986E-5</v>
      </c>
      <c r="D240" s="26" t="s">
        <v>13</v>
      </c>
      <c r="E240" s="26" t="s">
        <v>83</v>
      </c>
      <c r="F240" s="31" t="s">
        <v>109</v>
      </c>
      <c r="G240" s="31"/>
      <c r="H240" s="26" t="s">
        <v>15</v>
      </c>
      <c r="I240" s="26" t="s">
        <v>141</v>
      </c>
      <c r="J240" s="31"/>
    </row>
    <row r="241" spans="1:34">
      <c r="A241" s="31" t="s">
        <v>142</v>
      </c>
      <c r="B241" s="31"/>
      <c r="C241" s="25">
        <v>5.2137170609999988E-6</v>
      </c>
      <c r="D241" s="26" t="s">
        <v>13</v>
      </c>
      <c r="E241" s="26" t="s">
        <v>83</v>
      </c>
      <c r="F241" s="31" t="s">
        <v>109</v>
      </c>
      <c r="G241" s="31"/>
      <c r="H241" s="26" t="s">
        <v>15</v>
      </c>
      <c r="I241" s="26" t="s">
        <v>141</v>
      </c>
      <c r="J241" s="31"/>
    </row>
    <row r="242" spans="1:34">
      <c r="A242" s="31" t="s">
        <v>143</v>
      </c>
      <c r="B242" s="31"/>
      <c r="C242" s="25">
        <v>1.8248296401999994E-11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300</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8.7160654676693525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t="s">
        <v>131</v>
      </c>
      <c r="F255" s="31"/>
      <c r="G255" s="31" t="s">
        <v>28</v>
      </c>
      <c r="H255" s="31" t="s">
        <v>12</v>
      </c>
      <c r="I255" s="31"/>
      <c r="J255" s="31"/>
    </row>
    <row r="256" spans="1:34">
      <c r="A256" s="26" t="s">
        <v>132</v>
      </c>
      <c r="B256" s="31" t="s">
        <v>133</v>
      </c>
      <c r="C256" s="25">
        <v>3.247247405232923E-7</v>
      </c>
      <c r="D256" s="26" t="s">
        <v>6</v>
      </c>
      <c r="E256" s="31" t="s">
        <v>131</v>
      </c>
      <c r="F256" s="31"/>
      <c r="G256" s="31" t="s">
        <v>134</v>
      </c>
      <c r="H256" s="31" t="s">
        <v>12</v>
      </c>
      <c r="I256" s="39"/>
      <c r="J256" s="31"/>
    </row>
    <row r="257" spans="1:34">
      <c r="A257" s="31" t="s">
        <v>135</v>
      </c>
      <c r="B257" s="31" t="s">
        <v>136</v>
      </c>
      <c r="C257" s="25">
        <v>1.2290636204794897E-6</v>
      </c>
      <c r="D257" s="26" t="s">
        <v>6</v>
      </c>
      <c r="E257" s="31" t="s">
        <v>131</v>
      </c>
      <c r="F257" s="31"/>
      <c r="G257" s="31" t="s">
        <v>96</v>
      </c>
      <c r="H257" s="31" t="s">
        <v>12</v>
      </c>
      <c r="I257" s="31" t="s">
        <v>148</v>
      </c>
      <c r="J257" s="31"/>
    </row>
    <row r="258" spans="1:34">
      <c r="A258" s="25" t="s">
        <v>123</v>
      </c>
      <c r="B258" s="26"/>
      <c r="C258" s="32">
        <v>2.2491068863856039</v>
      </c>
      <c r="D258" s="26" t="s">
        <v>13</v>
      </c>
      <c r="E258" s="26" t="s">
        <v>83</v>
      </c>
      <c r="F258" s="26" t="s">
        <v>124</v>
      </c>
      <c r="G258" s="26"/>
      <c r="H258" s="26" t="s">
        <v>15</v>
      </c>
      <c r="I258" s="26" t="s">
        <v>137</v>
      </c>
    </row>
    <row r="259" spans="1:34">
      <c r="A259" s="31" t="s">
        <v>138</v>
      </c>
      <c r="B259" s="34"/>
      <c r="C259" s="25">
        <v>0.2649212944512388</v>
      </c>
      <c r="D259" s="26" t="s">
        <v>13</v>
      </c>
      <c r="E259" s="26" t="s">
        <v>83</v>
      </c>
      <c r="F259" s="31" t="s">
        <v>109</v>
      </c>
      <c r="G259" s="31"/>
      <c r="H259" s="26" t="s">
        <v>15</v>
      </c>
      <c r="I259" s="26" t="s">
        <v>139</v>
      </c>
    </row>
    <row r="260" spans="1:34">
      <c r="A260" s="31" t="s">
        <v>110</v>
      </c>
      <c r="B260" s="31"/>
      <c r="C260" s="25">
        <v>1.4402828351044209E-2</v>
      </c>
      <c r="D260" s="26" t="s">
        <v>13</v>
      </c>
      <c r="E260" s="26" t="s">
        <v>83</v>
      </c>
      <c r="F260" s="31" t="s">
        <v>109</v>
      </c>
      <c r="G260" s="31"/>
      <c r="H260" s="26" t="s">
        <v>15</v>
      </c>
      <c r="I260" s="26" t="s">
        <v>139</v>
      </c>
    </row>
    <row r="261" spans="1:34">
      <c r="A261" s="31" t="s">
        <v>140</v>
      </c>
      <c r="B261" s="31"/>
      <c r="C261" s="25">
        <v>1.2513379647999999E-4</v>
      </c>
      <c r="D261" s="26" t="s">
        <v>13</v>
      </c>
      <c r="E261" s="26" t="s">
        <v>83</v>
      </c>
      <c r="F261" s="31" t="s">
        <v>109</v>
      </c>
      <c r="G261" s="31"/>
      <c r="H261" s="26" t="s">
        <v>15</v>
      </c>
      <c r="I261" s="26" t="s">
        <v>141</v>
      </c>
      <c r="J261" s="31"/>
    </row>
    <row r="262" spans="1:34">
      <c r="A262" s="31" t="s">
        <v>85</v>
      </c>
      <c r="B262" s="31"/>
      <c r="C262" s="25">
        <v>6.5171176573999993E-6</v>
      </c>
      <c r="D262" s="26" t="s">
        <v>13</v>
      </c>
      <c r="E262" s="26" t="s">
        <v>83</v>
      </c>
      <c r="F262" s="31" t="s">
        <v>109</v>
      </c>
      <c r="G262" s="31"/>
      <c r="H262" s="26" t="s">
        <v>15</v>
      </c>
      <c r="I262" s="26" t="s">
        <v>141</v>
      </c>
      <c r="J262" s="31"/>
    </row>
    <row r="263" spans="1:34">
      <c r="A263" s="31" t="s">
        <v>87</v>
      </c>
      <c r="B263" s="31"/>
      <c r="C263" s="25">
        <v>3.9102017891999994E-5</v>
      </c>
      <c r="D263" s="26" t="s">
        <v>13</v>
      </c>
      <c r="E263" s="26" t="s">
        <v>83</v>
      </c>
      <c r="F263" s="31" t="s">
        <v>109</v>
      </c>
      <c r="G263" s="31"/>
      <c r="H263" s="26" t="s">
        <v>15</v>
      </c>
      <c r="I263" s="26" t="s">
        <v>141</v>
      </c>
      <c r="J263" s="31"/>
    </row>
    <row r="264" spans="1:34">
      <c r="A264" s="31" t="s">
        <v>89</v>
      </c>
      <c r="B264" s="31"/>
      <c r="C264" s="25">
        <v>6.5171176573999999E-5</v>
      </c>
      <c r="D264" s="26" t="s">
        <v>13</v>
      </c>
      <c r="E264" s="26" t="s">
        <v>83</v>
      </c>
      <c r="F264" s="31" t="s">
        <v>109</v>
      </c>
      <c r="G264" s="31"/>
      <c r="H264" s="26" t="s">
        <v>15</v>
      </c>
      <c r="I264" s="26" t="s">
        <v>141</v>
      </c>
      <c r="J264" s="31"/>
    </row>
    <row r="265" spans="1:34">
      <c r="A265" s="31" t="s">
        <v>142</v>
      </c>
      <c r="B265" s="31"/>
      <c r="C265" s="25">
        <v>5.2137170609999988E-6</v>
      </c>
      <c r="D265" s="26" t="s">
        <v>13</v>
      </c>
      <c r="E265" s="26" t="s">
        <v>83</v>
      </c>
      <c r="F265" s="31" t="s">
        <v>109</v>
      </c>
      <c r="G265" s="31"/>
      <c r="H265" s="26" t="s">
        <v>15</v>
      </c>
      <c r="I265" s="26" t="s">
        <v>141</v>
      </c>
      <c r="J265" s="31"/>
    </row>
    <row r="266" spans="1:34">
      <c r="A266" s="31" t="s">
        <v>143</v>
      </c>
      <c r="B266" s="31"/>
      <c r="C266" s="25">
        <v>1.8248296401999997E-11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381</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380</v>
      </c>
      <c r="C271" s="22"/>
      <c r="D271" s="22"/>
      <c r="E271" s="22"/>
      <c r="F271" s="22"/>
      <c r="G271" s="22"/>
      <c r="H271" s="22"/>
      <c r="I271" s="22"/>
      <c r="J271" s="22"/>
      <c r="K271" s="22"/>
      <c r="L271" s="22"/>
      <c r="M271" s="22"/>
      <c r="N271" s="22"/>
    </row>
    <row r="272" spans="1:34">
      <c r="A272" s="24" t="s">
        <v>57</v>
      </c>
      <c r="B272" s="31" t="s">
        <v>519</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381</v>
      </c>
      <c r="B276" s="22" t="s">
        <v>380</v>
      </c>
      <c r="C276" s="22">
        <v>1</v>
      </c>
      <c r="D276" s="22" t="s">
        <v>13</v>
      </c>
      <c r="F276" s="31" t="s">
        <v>28</v>
      </c>
      <c r="G276" s="22"/>
      <c r="H276" s="22" t="s">
        <v>18</v>
      </c>
      <c r="I276" s="22"/>
      <c r="K276" s="22"/>
      <c r="L276" s="22"/>
      <c r="M276" s="22"/>
      <c r="N276" s="22"/>
    </row>
    <row r="277" spans="1:14">
      <c r="A277" t="s">
        <v>325</v>
      </c>
      <c r="B277" t="s">
        <v>325</v>
      </c>
      <c r="C277" s="13">
        <v>0.21599526407159997</v>
      </c>
      <c r="D277" t="s">
        <v>35</v>
      </c>
      <c r="E277" s="31" t="s">
        <v>131</v>
      </c>
      <c r="F277" s="22" t="s">
        <v>96</v>
      </c>
      <c r="H277" s="22" t="s">
        <v>12</v>
      </c>
      <c r="I277" s="22" t="s">
        <v>505</v>
      </c>
      <c r="K277" s="22"/>
      <c r="L277" s="22"/>
      <c r="M277" s="22"/>
      <c r="N277" s="22"/>
    </row>
    <row r="278" spans="1:14">
      <c r="A278" t="s">
        <v>497</v>
      </c>
      <c r="B278" t="s">
        <v>497</v>
      </c>
      <c r="C278" s="13">
        <v>3.331311572796599E-2</v>
      </c>
      <c r="D278" t="s">
        <v>35</v>
      </c>
      <c r="E278" s="31" t="s">
        <v>131</v>
      </c>
      <c r="F278" s="22" t="s">
        <v>96</v>
      </c>
      <c r="H278" s="22" t="s">
        <v>12</v>
      </c>
      <c r="I278" s="22" t="s">
        <v>506</v>
      </c>
      <c r="K278" s="22"/>
      <c r="L278" s="22"/>
      <c r="M278" s="22"/>
      <c r="N278" s="22"/>
    </row>
    <row r="279" spans="1:14">
      <c r="A279" t="s">
        <v>273</v>
      </c>
      <c r="B279" t="s">
        <v>273</v>
      </c>
      <c r="C279" s="13">
        <v>6.2514013928414991E-2</v>
      </c>
      <c r="D279" t="s">
        <v>35</v>
      </c>
      <c r="E279" s="31" t="s">
        <v>131</v>
      </c>
      <c r="F279" s="22" t="s">
        <v>28</v>
      </c>
      <c r="H279" s="22" t="s">
        <v>12</v>
      </c>
      <c r="I279" s="22" t="s">
        <v>507</v>
      </c>
      <c r="K279" s="22"/>
      <c r="L279" s="22"/>
      <c r="M279" s="22"/>
      <c r="N279" s="22"/>
    </row>
    <row r="280" spans="1:14">
      <c r="A280" t="s">
        <v>27</v>
      </c>
      <c r="B280" t="s">
        <v>20</v>
      </c>
      <c r="C280" s="13">
        <v>1.5299664538404997E-2</v>
      </c>
      <c r="D280" t="s">
        <v>19</v>
      </c>
      <c r="E280" s="31" t="s">
        <v>131</v>
      </c>
      <c r="F280" s="22" t="s">
        <v>28</v>
      </c>
      <c r="H280" s="22" t="s">
        <v>12</v>
      </c>
      <c r="I280" s="22" t="s">
        <v>508</v>
      </c>
      <c r="K280" s="22"/>
      <c r="L280" s="22"/>
      <c r="M280" s="22"/>
      <c r="N280" s="22"/>
    </row>
    <row r="281" spans="1:14">
      <c r="A281" t="s">
        <v>169</v>
      </c>
      <c r="B281" t="s">
        <v>160</v>
      </c>
      <c r="C281" s="13">
        <v>1.5807054999999997E-2</v>
      </c>
      <c r="D281" t="s">
        <v>13</v>
      </c>
      <c r="E281" s="31" t="s">
        <v>131</v>
      </c>
      <c r="F281" s="22" t="s">
        <v>28</v>
      </c>
      <c r="H281" s="22" t="s">
        <v>12</v>
      </c>
      <c r="I281" s="22"/>
      <c r="K281" s="22"/>
      <c r="L281" s="22"/>
      <c r="M281" s="22"/>
      <c r="N281" s="22"/>
    </row>
    <row r="282" spans="1:14">
      <c r="A282" t="s">
        <v>319</v>
      </c>
      <c r="B282" t="s">
        <v>320</v>
      </c>
      <c r="C282" s="13">
        <v>5.9291219999999993E-3</v>
      </c>
      <c r="D282" t="s">
        <v>13</v>
      </c>
      <c r="E282" s="31" t="s">
        <v>131</v>
      </c>
      <c r="F282" s="22" t="s">
        <v>28</v>
      </c>
      <c r="H282" s="22" t="s">
        <v>12</v>
      </c>
      <c r="I282" s="22"/>
      <c r="K282" s="22"/>
      <c r="L282" s="22"/>
      <c r="M282" s="22"/>
      <c r="N282" s="22"/>
    </row>
    <row r="283" spans="1:14">
      <c r="A283" t="s">
        <v>321</v>
      </c>
      <c r="B283" t="s">
        <v>322</v>
      </c>
      <c r="C283" s="13">
        <v>5.9960509999999988E-3</v>
      </c>
      <c r="D283" t="s">
        <v>13</v>
      </c>
      <c r="E283" s="31" t="s">
        <v>131</v>
      </c>
      <c r="F283" s="22" t="s">
        <v>28</v>
      </c>
      <c r="H283" s="22" t="s">
        <v>12</v>
      </c>
      <c r="I283" s="22"/>
      <c r="K283" s="22"/>
      <c r="L283" s="22"/>
      <c r="M283" s="22"/>
      <c r="N283" s="22"/>
    </row>
    <row r="284" spans="1:14">
      <c r="A284" s="59" t="s">
        <v>323</v>
      </c>
      <c r="B284" t="s">
        <v>324</v>
      </c>
      <c r="C284" s="13">
        <v>5.7362089999999998E-2</v>
      </c>
      <c r="D284" t="s">
        <v>13</v>
      </c>
      <c r="E284" s="31" t="s">
        <v>131</v>
      </c>
      <c r="F284" s="22" t="s">
        <v>96</v>
      </c>
      <c r="H284" s="22" t="s">
        <v>12</v>
      </c>
      <c r="I284" s="22"/>
      <c r="K284" s="22"/>
      <c r="L284" s="22"/>
      <c r="M284" s="22"/>
      <c r="N284" s="22"/>
    </row>
    <row r="285" spans="1:14">
      <c r="A285" t="s">
        <v>498</v>
      </c>
      <c r="B285" t="s">
        <v>502</v>
      </c>
      <c r="C285" s="13">
        <v>4.9173129999999992E-7</v>
      </c>
      <c r="D285" t="s">
        <v>13</v>
      </c>
      <c r="E285" s="31" t="s">
        <v>131</v>
      </c>
      <c r="F285" s="22" t="s">
        <v>96</v>
      </c>
      <c r="H285" s="22" t="s">
        <v>12</v>
      </c>
      <c r="I285" s="22" t="s">
        <v>509</v>
      </c>
      <c r="K285" s="22"/>
      <c r="L285" s="22"/>
      <c r="M285" s="22"/>
      <c r="N285" s="22"/>
    </row>
    <row r="286" spans="1:14">
      <c r="A286" t="s">
        <v>317</v>
      </c>
      <c r="B286" t="s">
        <v>318</v>
      </c>
      <c r="C286" s="13">
        <v>2.3043064149999999E-4</v>
      </c>
      <c r="D286" t="s">
        <v>13</v>
      </c>
      <c r="E286" s="26" t="s">
        <v>83</v>
      </c>
      <c r="F286" s="22" t="s">
        <v>96</v>
      </c>
      <c r="H286" s="22" t="s">
        <v>12</v>
      </c>
      <c r="I286" s="22" t="s">
        <v>510</v>
      </c>
      <c r="K286" s="22"/>
      <c r="L286" s="22"/>
      <c r="M286" s="22"/>
      <c r="N286" s="22"/>
    </row>
    <row r="287" spans="1:14">
      <c r="A287" t="s">
        <v>315</v>
      </c>
      <c r="B287" t="s">
        <v>316</v>
      </c>
      <c r="C287" s="13">
        <v>3.2200000000000002E-3</v>
      </c>
      <c r="D287" t="s">
        <v>13</v>
      </c>
      <c r="E287" s="26" t="s">
        <v>83</v>
      </c>
      <c r="F287" s="22" t="s">
        <v>96</v>
      </c>
      <c r="H287" s="22" t="s">
        <v>12</v>
      </c>
      <c r="I287" s="22" t="s">
        <v>511</v>
      </c>
      <c r="K287" s="22"/>
      <c r="L287" s="22"/>
      <c r="M287" s="22"/>
      <c r="N287" s="22"/>
    </row>
    <row r="288" spans="1:14">
      <c r="A288" t="s">
        <v>499</v>
      </c>
      <c r="B288" t="s">
        <v>503</v>
      </c>
      <c r="C288" s="13">
        <v>8.2529999999999998E-5</v>
      </c>
      <c r="D288" t="s">
        <v>164</v>
      </c>
      <c r="E288" s="26" t="s">
        <v>83</v>
      </c>
      <c r="F288" s="22" t="s">
        <v>96</v>
      </c>
      <c r="H288" s="22" t="s">
        <v>12</v>
      </c>
      <c r="I288" s="22" t="s">
        <v>512</v>
      </c>
      <c r="J288" s="22"/>
      <c r="K288" s="22"/>
      <c r="L288" s="22"/>
      <c r="M288" s="22"/>
      <c r="N288" s="22"/>
    </row>
    <row r="289" spans="1:14">
      <c r="A289" t="s">
        <v>500</v>
      </c>
      <c r="B289" t="s">
        <v>504</v>
      </c>
      <c r="C289" s="13">
        <v>0.24474000000000001</v>
      </c>
      <c r="D289" t="s">
        <v>91</v>
      </c>
      <c r="E289" s="26" t="s">
        <v>83</v>
      </c>
      <c r="F289" s="22" t="s">
        <v>28</v>
      </c>
      <c r="H289" s="22" t="s">
        <v>12</v>
      </c>
      <c r="I289" s="22" t="s">
        <v>513</v>
      </c>
      <c r="J289" s="22"/>
      <c r="K289" s="22"/>
      <c r="L289" s="22"/>
      <c r="M289" s="22"/>
      <c r="N289" s="22"/>
    </row>
    <row r="290" spans="1:14">
      <c r="A290" t="s">
        <v>123</v>
      </c>
      <c r="B290"/>
      <c r="C290" s="13">
        <v>0</v>
      </c>
      <c r="D290" t="s">
        <v>13</v>
      </c>
      <c r="E290" s="26" t="s">
        <v>83</v>
      </c>
      <c r="F290" s="22"/>
      <c r="G290" t="s">
        <v>124</v>
      </c>
      <c r="H290" s="22" t="s">
        <v>15</v>
      </c>
      <c r="I290" s="22" t="s">
        <v>514</v>
      </c>
      <c r="J290" s="22"/>
      <c r="K290" s="22"/>
      <c r="L290" s="22"/>
      <c r="M290" s="22"/>
      <c r="N290" s="22"/>
    </row>
    <row r="291" spans="1:14">
      <c r="A291" t="s">
        <v>327</v>
      </c>
      <c r="C291" s="13">
        <v>13.622223068650793</v>
      </c>
      <c r="D291" t="s">
        <v>35</v>
      </c>
      <c r="E291" s="26" t="s">
        <v>83</v>
      </c>
      <c r="F291" s="22"/>
      <c r="G291" t="s">
        <v>328</v>
      </c>
      <c r="H291" s="22" t="s">
        <v>15</v>
      </c>
      <c r="I291" s="22" t="s">
        <v>514</v>
      </c>
      <c r="J291" s="22"/>
      <c r="K291" s="22"/>
      <c r="L291" s="22"/>
      <c r="M291" s="22"/>
      <c r="N291" s="22"/>
    </row>
    <row r="292" spans="1:14">
      <c r="A292" t="s">
        <v>32</v>
      </c>
      <c r="C292" s="13">
        <v>2.2165309999999994E-2</v>
      </c>
      <c r="D292" t="s">
        <v>13</v>
      </c>
      <c r="E292" s="26" t="s">
        <v>83</v>
      </c>
      <c r="F292" s="22"/>
      <c r="G292" t="s">
        <v>25</v>
      </c>
      <c r="H292" s="22" t="s">
        <v>15</v>
      </c>
      <c r="I292" s="22" t="s">
        <v>515</v>
      </c>
      <c r="J292" s="22"/>
      <c r="K292" s="22"/>
      <c r="L292" s="22"/>
      <c r="M292" s="22"/>
      <c r="N292" s="22"/>
    </row>
    <row r="293" spans="1:14">
      <c r="A293" t="s">
        <v>501</v>
      </c>
      <c r="C293" s="13">
        <v>3.6196777999999996E-4</v>
      </c>
      <c r="D293" t="s">
        <v>13</v>
      </c>
      <c r="E293" s="26" t="s">
        <v>83</v>
      </c>
      <c r="F293" s="22"/>
      <c r="G293" t="s">
        <v>25</v>
      </c>
      <c r="H293" s="22" t="s">
        <v>15</v>
      </c>
      <c r="I293" s="22" t="s">
        <v>516</v>
      </c>
      <c r="J293" s="22"/>
      <c r="K293" s="22"/>
      <c r="L293" s="22"/>
      <c r="M293" s="22"/>
      <c r="N293" s="22"/>
    </row>
    <row r="294" spans="1:14">
      <c r="A294" t="s">
        <v>85</v>
      </c>
      <c r="C294" s="13">
        <v>4.5200696999999994E-4</v>
      </c>
      <c r="D294" t="s">
        <v>13</v>
      </c>
      <c r="E294" s="26" t="s">
        <v>83</v>
      </c>
      <c r="F294" s="22"/>
      <c r="G294" t="s">
        <v>25</v>
      </c>
      <c r="H294" s="22" t="s">
        <v>15</v>
      </c>
      <c r="I294" s="22" t="s">
        <v>517</v>
      </c>
      <c r="J294" s="22"/>
      <c r="K294" s="22"/>
      <c r="L294" s="22"/>
      <c r="M294" s="22"/>
      <c r="N294" s="22"/>
    </row>
    <row r="295" spans="1:14">
      <c r="A295" t="s">
        <v>93</v>
      </c>
      <c r="C295" s="13">
        <v>0.17007192792102799</v>
      </c>
      <c r="D295" t="s">
        <v>91</v>
      </c>
      <c r="E295" s="26" t="s">
        <v>83</v>
      </c>
      <c r="F295" s="22"/>
      <c r="G295" t="s">
        <v>25</v>
      </c>
      <c r="H295" s="22" t="s">
        <v>15</v>
      </c>
      <c r="I295" s="22" t="s">
        <v>329</v>
      </c>
      <c r="J295" s="22"/>
      <c r="K295" s="22"/>
      <c r="L295" s="22"/>
      <c r="M295" s="22"/>
      <c r="N295" s="22"/>
    </row>
    <row r="296" spans="1:14">
      <c r="A296" t="s">
        <v>87</v>
      </c>
      <c r="C296" s="13">
        <v>8.3517419999999996E-5</v>
      </c>
      <c r="D296" t="s">
        <v>13</v>
      </c>
      <c r="E296" s="26" t="s">
        <v>83</v>
      </c>
      <c r="F296" s="22"/>
      <c r="G296" t="s">
        <v>109</v>
      </c>
      <c r="H296" s="22" t="s">
        <v>15</v>
      </c>
      <c r="I296" s="22" t="s">
        <v>329</v>
      </c>
      <c r="J296" s="22"/>
      <c r="K296" s="22"/>
      <c r="L296" s="22"/>
      <c r="M296" s="22"/>
      <c r="N296" s="22"/>
    </row>
    <row r="297" spans="1:14">
      <c r="A297" t="s">
        <v>194</v>
      </c>
      <c r="C297" s="13">
        <v>1.0182310000000001E-3</v>
      </c>
      <c r="D297" t="s">
        <v>13</v>
      </c>
      <c r="E297" s="26" t="s">
        <v>83</v>
      </c>
      <c r="F297" s="22"/>
      <c r="G297" t="s">
        <v>109</v>
      </c>
      <c r="H297" s="22" t="s">
        <v>15</v>
      </c>
      <c r="I297" s="22" t="s">
        <v>329</v>
      </c>
      <c r="J297" s="22"/>
      <c r="K297" s="22"/>
      <c r="L297" s="22"/>
      <c r="M297" s="22"/>
      <c r="N297" s="22"/>
    </row>
    <row r="298" spans="1:14">
      <c r="A298" t="s">
        <v>330</v>
      </c>
      <c r="C298" s="13">
        <v>0.47991081325301199</v>
      </c>
      <c r="D298" t="s">
        <v>113</v>
      </c>
      <c r="E298" s="26" t="s">
        <v>83</v>
      </c>
      <c r="F298" s="22"/>
      <c r="G298" t="s">
        <v>16</v>
      </c>
      <c r="H298" s="22" t="s">
        <v>15</v>
      </c>
      <c r="I298" s="22" t="s">
        <v>331</v>
      </c>
      <c r="J298" s="22"/>
      <c r="K298" s="22"/>
      <c r="L298" s="22"/>
      <c r="M298" s="22"/>
      <c r="N298" s="22"/>
    </row>
    <row r="299" spans="1:14">
      <c r="A299" t="s">
        <v>332</v>
      </c>
      <c r="C299" s="13">
        <v>0.47991081325301199</v>
      </c>
      <c r="D299" t="s">
        <v>113</v>
      </c>
      <c r="E299" s="26" t="s">
        <v>83</v>
      </c>
      <c r="F299" s="22"/>
      <c r="G299" t="s">
        <v>16</v>
      </c>
      <c r="H299" s="22" t="s">
        <v>15</v>
      </c>
      <c r="I299" s="22" t="s">
        <v>331</v>
      </c>
      <c r="J299" s="22"/>
      <c r="K299" s="22"/>
      <c r="L299" s="22"/>
      <c r="M299" s="22"/>
      <c r="N299" s="22"/>
    </row>
    <row r="300" spans="1:14">
      <c r="A300" t="s">
        <v>333</v>
      </c>
      <c r="C300" s="13">
        <v>0.95982162650602398</v>
      </c>
      <c r="D300" t="s">
        <v>17</v>
      </c>
      <c r="E300" s="26" t="s">
        <v>83</v>
      </c>
      <c r="F300" s="22"/>
      <c r="G300" t="s">
        <v>16</v>
      </c>
      <c r="H300" s="22" t="s">
        <v>15</v>
      </c>
      <c r="I300" s="22" t="s">
        <v>334</v>
      </c>
      <c r="J300" s="22"/>
      <c r="K300" s="22"/>
      <c r="L300" s="22"/>
      <c r="M300" s="22"/>
      <c r="N300" s="22"/>
    </row>
    <row r="301" spans="1:14">
      <c r="A301" t="s">
        <v>335</v>
      </c>
      <c r="C301" s="13">
        <v>1.0107999999999999E-6</v>
      </c>
      <c r="D301" t="s">
        <v>13</v>
      </c>
      <c r="E301" s="26" t="s">
        <v>83</v>
      </c>
      <c r="F301" s="22"/>
      <c r="G301" t="s">
        <v>336</v>
      </c>
      <c r="H301" s="22" t="s">
        <v>15</v>
      </c>
      <c r="I301" s="22" t="s">
        <v>329</v>
      </c>
      <c r="J301" s="22"/>
      <c r="K301" s="22"/>
      <c r="L301" s="22"/>
      <c r="M301" s="22"/>
      <c r="N301" s="22"/>
    </row>
    <row r="302" spans="1:14">
      <c r="A302" t="s">
        <v>337</v>
      </c>
      <c r="C302" s="13">
        <v>6.1366999999999996E-7</v>
      </c>
      <c r="D302" t="s">
        <v>13</v>
      </c>
      <c r="E302" s="26" t="s">
        <v>83</v>
      </c>
      <c r="F302" s="22"/>
      <c r="G302" t="s">
        <v>336</v>
      </c>
      <c r="H302" s="22" t="s">
        <v>15</v>
      </c>
      <c r="I302" s="22" t="s">
        <v>329</v>
      </c>
      <c r="J302" s="22"/>
      <c r="K302" s="22"/>
      <c r="L302" s="22"/>
      <c r="M302" s="22"/>
      <c r="N302" s="22"/>
    </row>
    <row r="303" spans="1:14">
      <c r="A303" t="s">
        <v>338</v>
      </c>
      <c r="C303" s="13">
        <v>4.8131000000000003E-9</v>
      </c>
      <c r="D303" t="s">
        <v>13</v>
      </c>
      <c r="E303" s="26" t="s">
        <v>83</v>
      </c>
      <c r="F303" s="22"/>
      <c r="G303" t="s">
        <v>336</v>
      </c>
      <c r="H303" s="22" t="s">
        <v>15</v>
      </c>
      <c r="I303" s="22" t="s">
        <v>329</v>
      </c>
      <c r="J303" s="22"/>
      <c r="K303" s="22"/>
      <c r="L303" s="22"/>
      <c r="M303" s="22"/>
      <c r="N303" s="22"/>
    </row>
    <row r="304" spans="1:14">
      <c r="A304" t="s">
        <v>339</v>
      </c>
      <c r="C304" s="13">
        <v>6.4977000000000003E-7</v>
      </c>
      <c r="D304" t="s">
        <v>13</v>
      </c>
      <c r="E304" s="26" t="s">
        <v>83</v>
      </c>
      <c r="F304" s="22"/>
      <c r="G304" t="s">
        <v>336</v>
      </c>
      <c r="H304" s="22" t="s">
        <v>15</v>
      </c>
      <c r="I304" s="22" t="s">
        <v>329</v>
      </c>
      <c r="J304" s="22"/>
      <c r="K304" s="22"/>
      <c r="L304" s="22"/>
      <c r="M304" s="22"/>
      <c r="N304" s="22"/>
    </row>
    <row r="305" spans="1:14">
      <c r="A305" t="s">
        <v>340</v>
      </c>
      <c r="C305" s="13">
        <v>-1.5040999999999999E-6</v>
      </c>
      <c r="D305" t="s">
        <v>13</v>
      </c>
      <c r="E305" s="26" t="s">
        <v>83</v>
      </c>
      <c r="F305" s="22"/>
      <c r="G305" t="s">
        <v>336</v>
      </c>
      <c r="H305" s="22" t="s">
        <v>15</v>
      </c>
      <c r="I305" s="22" t="s">
        <v>329</v>
      </c>
      <c r="J305" s="22"/>
      <c r="K305" s="22"/>
      <c r="L305" s="22"/>
      <c r="M305" s="22"/>
      <c r="N305" s="22"/>
    </row>
    <row r="306" spans="1:14">
      <c r="A306" t="s">
        <v>341</v>
      </c>
      <c r="C306" s="13">
        <v>1.2032999999999999E-7</v>
      </c>
      <c r="D306" t="s">
        <v>13</v>
      </c>
      <c r="E306" s="26" t="s">
        <v>83</v>
      </c>
      <c r="F306" s="22"/>
      <c r="G306" t="s">
        <v>336</v>
      </c>
      <c r="H306" s="22" t="s">
        <v>15</v>
      </c>
      <c r="I306" s="22" t="s">
        <v>329</v>
      </c>
      <c r="J306" s="22"/>
      <c r="K306" s="22"/>
      <c r="L306" s="22"/>
      <c r="M306" s="22"/>
      <c r="N306" s="22"/>
    </row>
    <row r="307" spans="1:14">
      <c r="A307" t="s">
        <v>342</v>
      </c>
      <c r="C307" s="13">
        <v>2.4787000000000001E-6</v>
      </c>
      <c r="D307" t="s">
        <v>13</v>
      </c>
      <c r="E307" s="26" t="s">
        <v>83</v>
      </c>
      <c r="F307" s="22"/>
      <c r="G307" t="s">
        <v>336</v>
      </c>
      <c r="H307" s="22" t="s">
        <v>15</v>
      </c>
      <c r="I307" s="22" t="s">
        <v>329</v>
      </c>
      <c r="J307" s="22"/>
      <c r="K307" s="22"/>
      <c r="L307" s="22"/>
      <c r="M307" s="22"/>
      <c r="N307" s="22"/>
    </row>
    <row r="308" spans="1:14">
      <c r="A308" t="s">
        <v>343</v>
      </c>
      <c r="C308" s="13">
        <v>1.0829E-7</v>
      </c>
      <c r="D308" t="s">
        <v>13</v>
      </c>
      <c r="E308" s="26" t="s">
        <v>83</v>
      </c>
      <c r="F308" s="22"/>
      <c r="G308" t="s">
        <v>336</v>
      </c>
      <c r="H308" s="22" t="s">
        <v>15</v>
      </c>
      <c r="I308" s="22" t="s">
        <v>329</v>
      </c>
      <c r="J308" s="22"/>
      <c r="K308" s="22"/>
      <c r="L308" s="22"/>
      <c r="M308" s="22"/>
      <c r="N308" s="22"/>
    </row>
    <row r="309" spans="1:14">
      <c r="A309" t="s">
        <v>344</v>
      </c>
      <c r="C309" s="13">
        <v>1.0107999999999999E-6</v>
      </c>
      <c r="D309" t="s">
        <v>13</v>
      </c>
      <c r="E309" s="26" t="s">
        <v>83</v>
      </c>
      <c r="F309" s="22"/>
      <c r="G309" t="s">
        <v>336</v>
      </c>
      <c r="H309" s="22" t="s">
        <v>15</v>
      </c>
      <c r="I309" s="22" t="s">
        <v>329</v>
      </c>
      <c r="J309" s="22"/>
      <c r="K309" s="22"/>
      <c r="L309" s="22"/>
      <c r="M309" s="22"/>
      <c r="N309" s="22"/>
    </row>
    <row r="310" spans="1:14">
      <c r="A310" t="s">
        <v>345</v>
      </c>
      <c r="C310" s="13">
        <v>2.4065000000000001E-8</v>
      </c>
      <c r="D310" t="s">
        <v>13</v>
      </c>
      <c r="E310" s="26" t="s">
        <v>83</v>
      </c>
      <c r="F310" s="22"/>
      <c r="G310" t="s">
        <v>336</v>
      </c>
      <c r="H310" s="22" t="s">
        <v>15</v>
      </c>
      <c r="I310" s="22" t="s">
        <v>329</v>
      </c>
      <c r="J310" s="22"/>
      <c r="K310" s="22"/>
      <c r="L310" s="22"/>
      <c r="M310" s="22"/>
      <c r="N310" s="22"/>
    </row>
    <row r="311" spans="1:14">
      <c r="A311" t="s">
        <v>346</v>
      </c>
      <c r="C311" s="13">
        <v>-3.2893999999999998E-7</v>
      </c>
      <c r="D311" t="s">
        <v>13</v>
      </c>
      <c r="E311" s="26" t="s">
        <v>83</v>
      </c>
      <c r="F311" s="22"/>
      <c r="G311" t="s">
        <v>336</v>
      </c>
      <c r="H311" s="22" t="s">
        <v>15</v>
      </c>
      <c r="I311" s="22" t="s">
        <v>329</v>
      </c>
      <c r="J311" s="22"/>
      <c r="K311" s="22"/>
      <c r="L311" s="22"/>
      <c r="M311" s="22"/>
      <c r="N311" s="22"/>
    </row>
    <row r="312" spans="1:14">
      <c r="A312" t="s">
        <v>347</v>
      </c>
      <c r="C312" s="13">
        <v>7.9416000000000001E-7</v>
      </c>
      <c r="D312" t="s">
        <v>13</v>
      </c>
      <c r="E312" s="26" t="s">
        <v>83</v>
      </c>
      <c r="F312" s="22"/>
      <c r="G312" t="s">
        <v>336</v>
      </c>
      <c r="H312" s="22" t="s">
        <v>15</v>
      </c>
      <c r="I312" s="22" t="s">
        <v>329</v>
      </c>
      <c r="J312" s="22"/>
      <c r="K312" s="22"/>
      <c r="L312" s="22"/>
      <c r="M312" s="22"/>
      <c r="N312" s="22"/>
    </row>
    <row r="313" spans="1:14">
      <c r="A313" t="s">
        <v>348</v>
      </c>
      <c r="C313" s="13">
        <v>4.1393000000000003E-6</v>
      </c>
      <c r="D313" t="s">
        <v>13</v>
      </c>
      <c r="E313" s="26" t="s">
        <v>83</v>
      </c>
      <c r="F313" s="22"/>
      <c r="G313" t="s">
        <v>336</v>
      </c>
      <c r="H313" s="22" t="s">
        <v>15</v>
      </c>
      <c r="I313" s="22" t="s">
        <v>329</v>
      </c>
      <c r="J313" s="22"/>
      <c r="K313" s="22"/>
      <c r="L313" s="22"/>
      <c r="M313" s="22"/>
      <c r="N313" s="22"/>
    </row>
    <row r="314" spans="1:14">
      <c r="A314" t="s">
        <v>349</v>
      </c>
      <c r="C314" s="13">
        <v>5.0537999999999999E-8</v>
      </c>
      <c r="D314" t="s">
        <v>13</v>
      </c>
      <c r="E314" s="26" t="s">
        <v>83</v>
      </c>
      <c r="F314" s="22"/>
      <c r="G314" t="s">
        <v>336</v>
      </c>
      <c r="H314" s="22" t="s">
        <v>15</v>
      </c>
      <c r="I314" s="22" t="s">
        <v>329</v>
      </c>
      <c r="J314" s="22"/>
      <c r="K314" s="22"/>
      <c r="L314" s="22"/>
      <c r="M314" s="22"/>
      <c r="N314" s="22"/>
    </row>
    <row r="315" spans="1:14">
      <c r="A315" t="s">
        <v>350</v>
      </c>
      <c r="C315" s="13">
        <v>-5.9000999999999996E-6</v>
      </c>
      <c r="D315" t="s">
        <v>13</v>
      </c>
      <c r="E315" s="26" t="s">
        <v>83</v>
      </c>
      <c r="F315" s="22"/>
      <c r="G315" t="s">
        <v>336</v>
      </c>
      <c r="H315" s="22" t="s">
        <v>15</v>
      </c>
      <c r="I315" s="22" t="s">
        <v>329</v>
      </c>
      <c r="J315" s="22"/>
      <c r="K315" s="22"/>
      <c r="L315" s="22"/>
      <c r="M315" s="22"/>
      <c r="N315" s="22"/>
    </row>
    <row r="316" spans="1:14">
      <c r="A316" t="s">
        <v>351</v>
      </c>
      <c r="C316" s="13">
        <v>1.5643E-6</v>
      </c>
      <c r="D316" t="s">
        <v>13</v>
      </c>
      <c r="E316" s="26" t="s">
        <v>83</v>
      </c>
      <c r="F316" s="22"/>
      <c r="G316" t="s">
        <v>336</v>
      </c>
      <c r="H316" s="22" t="s">
        <v>15</v>
      </c>
      <c r="I316" s="22" t="s">
        <v>329</v>
      </c>
      <c r="J316" s="22"/>
      <c r="K316" s="22"/>
      <c r="L316" s="22"/>
      <c r="M316" s="22"/>
      <c r="N316" s="22"/>
    </row>
    <row r="317" spans="1:14">
      <c r="A317" t="s">
        <v>352</v>
      </c>
      <c r="C317" s="13">
        <v>2.6952999999999998E-6</v>
      </c>
      <c r="D317" t="s">
        <v>13</v>
      </c>
      <c r="E317" s="26" t="s">
        <v>83</v>
      </c>
      <c r="F317" s="22"/>
      <c r="G317" t="s">
        <v>336</v>
      </c>
      <c r="H317" s="22" t="s">
        <v>15</v>
      </c>
      <c r="I317" s="22" t="s">
        <v>329</v>
      </c>
      <c r="J317" s="22"/>
      <c r="K317" s="22"/>
      <c r="L317" s="22"/>
      <c r="M317" s="22"/>
      <c r="N317" s="22"/>
    </row>
    <row r="318" spans="1:14">
      <c r="A318" t="s">
        <v>353</v>
      </c>
      <c r="C318" s="13">
        <v>4.4454999999999997E-8</v>
      </c>
      <c r="D318" t="s">
        <v>13</v>
      </c>
      <c r="E318" s="26" t="s">
        <v>83</v>
      </c>
      <c r="F318" s="22"/>
      <c r="G318" t="s">
        <v>336</v>
      </c>
      <c r="H318" s="22" t="s">
        <v>15</v>
      </c>
      <c r="I318" s="22" t="s">
        <v>329</v>
      </c>
      <c r="J318" s="22"/>
      <c r="K318" s="22"/>
      <c r="L318" s="22"/>
      <c r="M318" s="22"/>
      <c r="N318" s="22"/>
    </row>
    <row r="319" spans="1:14">
      <c r="A319" t="s">
        <v>354</v>
      </c>
      <c r="C319" s="13">
        <v>3.6097999999999997E-8</v>
      </c>
      <c r="D319" t="s">
        <v>13</v>
      </c>
      <c r="E319" s="26" t="s">
        <v>83</v>
      </c>
      <c r="F319" s="22"/>
      <c r="G319" t="s">
        <v>336</v>
      </c>
      <c r="H319" s="22" t="s">
        <v>15</v>
      </c>
      <c r="I319" s="22" t="s">
        <v>329</v>
      </c>
      <c r="J319" s="22"/>
      <c r="K319" s="22"/>
      <c r="L319" s="22"/>
      <c r="M319" s="22"/>
      <c r="N319" s="22"/>
    </row>
    <row r="320" spans="1:14">
      <c r="A320" t="s">
        <v>355</v>
      </c>
      <c r="C320" s="13">
        <v>2.1659000000000001E-7</v>
      </c>
      <c r="D320" t="s">
        <v>13</v>
      </c>
      <c r="E320" s="26" t="s">
        <v>83</v>
      </c>
      <c r="F320" s="22"/>
      <c r="G320" t="s">
        <v>336</v>
      </c>
      <c r="H320" s="22" t="s">
        <v>15</v>
      </c>
      <c r="I320" s="22" t="s">
        <v>329</v>
      </c>
      <c r="J320" s="22"/>
      <c r="K320" s="22"/>
      <c r="L320" s="22"/>
      <c r="M320" s="22"/>
      <c r="N320" s="22"/>
    </row>
    <row r="321" spans="1:14">
      <c r="A321" t="s">
        <v>356</v>
      </c>
      <c r="C321" s="13">
        <v>-1.8835E-8</v>
      </c>
      <c r="D321" t="s">
        <v>13</v>
      </c>
      <c r="E321" s="26" t="s">
        <v>83</v>
      </c>
      <c r="F321" s="22"/>
      <c r="G321" t="s">
        <v>336</v>
      </c>
      <c r="H321" s="22" t="s">
        <v>15</v>
      </c>
      <c r="I321" s="22" t="s">
        <v>329</v>
      </c>
      <c r="J321" s="22"/>
      <c r="K321" s="22"/>
      <c r="L321" s="22"/>
      <c r="M321" s="22"/>
      <c r="N321" s="22"/>
    </row>
    <row r="322" spans="1:14">
      <c r="A322" t="s">
        <v>357</v>
      </c>
      <c r="C322" s="13">
        <v>4.2885E-5</v>
      </c>
      <c r="D322" t="s">
        <v>13</v>
      </c>
      <c r="E322" s="26" t="s">
        <v>83</v>
      </c>
      <c r="F322" s="22"/>
      <c r="G322" t="s">
        <v>336</v>
      </c>
      <c r="H322" s="22" t="s">
        <v>15</v>
      </c>
      <c r="I322" s="22" t="s">
        <v>329</v>
      </c>
      <c r="J322" s="22"/>
      <c r="K322" s="22"/>
      <c r="L322" s="22"/>
      <c r="M322" s="22"/>
      <c r="N322" s="22"/>
    </row>
    <row r="323" spans="1:14">
      <c r="A323" t="s">
        <v>358</v>
      </c>
      <c r="C323" s="13">
        <v>9.2460000000000006E-5</v>
      </c>
      <c r="D323" t="s">
        <v>13</v>
      </c>
      <c r="E323" s="26" t="s">
        <v>83</v>
      </c>
      <c r="F323" s="22"/>
      <c r="G323" t="s">
        <v>336</v>
      </c>
      <c r="H323" s="22" t="s">
        <v>15</v>
      </c>
      <c r="I323" s="22" t="s">
        <v>329</v>
      </c>
      <c r="J323" s="22"/>
      <c r="K323" s="22"/>
      <c r="L323" s="22"/>
      <c r="M323" s="22"/>
      <c r="N323" s="22"/>
    </row>
    <row r="324" spans="1:14">
      <c r="A324" t="s">
        <v>359</v>
      </c>
      <c r="C324" s="13">
        <v>5.0297000000000003E-6</v>
      </c>
      <c r="D324" t="s">
        <v>13</v>
      </c>
      <c r="E324" s="26" t="s">
        <v>83</v>
      </c>
      <c r="F324" s="22"/>
      <c r="G324" t="s">
        <v>336</v>
      </c>
      <c r="H324" s="22" t="s">
        <v>15</v>
      </c>
      <c r="I324" s="22" t="s">
        <v>329</v>
      </c>
      <c r="J324" s="22"/>
      <c r="K324" s="22"/>
      <c r="L324" s="22"/>
      <c r="M324" s="22"/>
      <c r="N324" s="22"/>
    </row>
    <row r="325" spans="1:14">
      <c r="A325" t="s">
        <v>360</v>
      </c>
      <c r="C325" s="13">
        <v>2.4306000000000001E-6</v>
      </c>
      <c r="D325" t="s">
        <v>13</v>
      </c>
      <c r="E325" s="26" t="s">
        <v>83</v>
      </c>
      <c r="F325" s="22"/>
      <c r="G325" t="s">
        <v>336</v>
      </c>
      <c r="H325" s="22" t="s">
        <v>15</v>
      </c>
      <c r="I325" s="22" t="s">
        <v>329</v>
      </c>
      <c r="J325" s="22"/>
      <c r="K325" s="22"/>
      <c r="L325" s="22"/>
      <c r="M325" s="22"/>
      <c r="N325" s="22"/>
    </row>
    <row r="326" spans="1:14">
      <c r="A326" t="s">
        <v>361</v>
      </c>
      <c r="C326" s="13">
        <v>1.7326999999999999E-6</v>
      </c>
      <c r="D326" t="s">
        <v>13</v>
      </c>
      <c r="E326" s="26" t="s">
        <v>83</v>
      </c>
      <c r="F326" s="22"/>
      <c r="G326" t="s">
        <v>336</v>
      </c>
      <c r="H326" s="22" t="s">
        <v>15</v>
      </c>
      <c r="I326" s="22" t="s">
        <v>329</v>
      </c>
      <c r="J326" s="22"/>
      <c r="K326" s="22"/>
      <c r="L326" s="22"/>
      <c r="M326" s="22"/>
      <c r="N326" s="22"/>
    </row>
    <row r="327" spans="1:14">
      <c r="A327" t="s">
        <v>362</v>
      </c>
      <c r="C327" s="13">
        <v>2.8878999999999998E-7</v>
      </c>
      <c r="D327" t="s">
        <v>13</v>
      </c>
      <c r="E327" s="26" t="s">
        <v>83</v>
      </c>
      <c r="F327" s="22"/>
      <c r="G327" t="s">
        <v>336</v>
      </c>
      <c r="H327" s="22" t="s">
        <v>15</v>
      </c>
      <c r="I327" s="22" t="s">
        <v>329</v>
      </c>
      <c r="J327" s="22"/>
      <c r="K327" s="22"/>
      <c r="L327" s="22"/>
      <c r="M327" s="22"/>
      <c r="N327" s="22"/>
    </row>
    <row r="328" spans="1:14">
      <c r="A328" t="s">
        <v>363</v>
      </c>
      <c r="C328" s="13">
        <v>1.9661999999999999E-5</v>
      </c>
      <c r="D328" t="s">
        <v>13</v>
      </c>
      <c r="E328" s="26" t="s">
        <v>83</v>
      </c>
      <c r="F328" s="22"/>
      <c r="G328" t="s">
        <v>336</v>
      </c>
      <c r="H328" s="22" t="s">
        <v>15</v>
      </c>
      <c r="I328" s="22" t="s">
        <v>329</v>
      </c>
      <c r="J328" s="22"/>
      <c r="K328" s="22"/>
      <c r="L328" s="22"/>
      <c r="M328" s="22"/>
      <c r="N328" s="22"/>
    </row>
    <row r="329" spans="1:14">
      <c r="A329" t="s">
        <v>364</v>
      </c>
      <c r="C329" s="13">
        <v>1.1911999999999999E-6</v>
      </c>
      <c r="D329" t="s">
        <v>13</v>
      </c>
      <c r="E329" s="26" t="s">
        <v>83</v>
      </c>
      <c r="F329" s="22"/>
      <c r="G329" t="s">
        <v>336</v>
      </c>
      <c r="H329" s="22" t="s">
        <v>15</v>
      </c>
      <c r="I329" s="22" t="s">
        <v>329</v>
      </c>
      <c r="J329" s="22"/>
      <c r="K329" s="22"/>
      <c r="L329" s="22"/>
      <c r="M329" s="22"/>
      <c r="N329" s="22"/>
    </row>
    <row r="330" spans="1:14">
      <c r="A330" t="s">
        <v>365</v>
      </c>
      <c r="C330" s="13">
        <v>1.9252000000000001E-7</v>
      </c>
      <c r="D330" t="s">
        <v>13</v>
      </c>
      <c r="E330" s="26" t="s">
        <v>83</v>
      </c>
      <c r="F330" s="22"/>
      <c r="G330" t="s">
        <v>336</v>
      </c>
      <c r="H330" s="22" t="s">
        <v>15</v>
      </c>
      <c r="I330" s="22" t="s">
        <v>329</v>
      </c>
      <c r="J330" s="22"/>
      <c r="K330" s="22"/>
      <c r="L330" s="22"/>
      <c r="M330" s="22"/>
      <c r="N330" s="22"/>
    </row>
    <row r="331" spans="1:14">
      <c r="A331" t="s">
        <v>366</v>
      </c>
      <c r="C331" s="13">
        <v>3.0442999999999998E-6</v>
      </c>
      <c r="D331" t="s">
        <v>13</v>
      </c>
      <c r="E331" s="26" t="s">
        <v>83</v>
      </c>
      <c r="F331" s="22"/>
      <c r="G331" t="s">
        <v>336</v>
      </c>
      <c r="H331" s="22" t="s">
        <v>15</v>
      </c>
      <c r="I331" s="22" t="s">
        <v>329</v>
      </c>
      <c r="J331" s="22"/>
      <c r="K331" s="22"/>
      <c r="L331" s="22"/>
      <c r="M331" s="22"/>
      <c r="N331" s="22"/>
    </row>
    <row r="332" spans="1:14">
      <c r="A332" t="s">
        <v>367</v>
      </c>
      <c r="C332" s="13">
        <v>4.8130999999999997E-6</v>
      </c>
      <c r="D332" t="s">
        <v>13</v>
      </c>
      <c r="E332" s="26" t="s">
        <v>83</v>
      </c>
      <c r="F332" s="22"/>
      <c r="G332" t="s">
        <v>336</v>
      </c>
      <c r="H332" s="22" t="s">
        <v>15</v>
      </c>
      <c r="I332" s="22" t="s">
        <v>329</v>
      </c>
      <c r="J332" s="22"/>
      <c r="K332" s="22"/>
      <c r="L332" s="22"/>
      <c r="M332" s="22"/>
      <c r="N332" s="22"/>
    </row>
    <row r="333" spans="1:14">
      <c r="A333" t="s">
        <v>368</v>
      </c>
      <c r="C333" s="13">
        <v>5.9441999999999998E-5</v>
      </c>
      <c r="D333" t="s">
        <v>13</v>
      </c>
      <c r="E333" s="26" t="s">
        <v>83</v>
      </c>
      <c r="F333" s="22"/>
      <c r="G333" t="s">
        <v>336</v>
      </c>
      <c r="H333" s="22" t="s">
        <v>15</v>
      </c>
      <c r="I333" s="22" t="s">
        <v>329</v>
      </c>
      <c r="J333" s="22"/>
      <c r="K333" s="22"/>
      <c r="L333" s="22"/>
      <c r="M333" s="22"/>
      <c r="N333" s="22"/>
    </row>
    <row r="334" spans="1:14">
      <c r="A334" t="s">
        <v>369</v>
      </c>
      <c r="C334" s="13">
        <v>3.3691999999999998E-7</v>
      </c>
      <c r="D334" t="s">
        <v>13</v>
      </c>
      <c r="E334" s="26" t="s">
        <v>83</v>
      </c>
      <c r="F334" s="22"/>
      <c r="G334" t="s">
        <v>336</v>
      </c>
      <c r="H334" s="22" t="s">
        <v>15</v>
      </c>
      <c r="I334" s="22" t="s">
        <v>329</v>
      </c>
      <c r="J334" s="22"/>
      <c r="K334" s="22"/>
      <c r="L334" s="22"/>
      <c r="M334" s="22"/>
      <c r="N334" s="22"/>
    </row>
    <row r="335" spans="1:14">
      <c r="A335" t="s">
        <v>370</v>
      </c>
      <c r="C335" s="13">
        <v>1.6846000000000001E-8</v>
      </c>
      <c r="D335" t="s">
        <v>13</v>
      </c>
      <c r="E335" s="26" t="s">
        <v>83</v>
      </c>
      <c r="F335" s="22"/>
      <c r="G335" t="s">
        <v>336</v>
      </c>
      <c r="H335" s="22" t="s">
        <v>15</v>
      </c>
      <c r="I335" s="22" t="s">
        <v>329</v>
      </c>
      <c r="J335" s="22"/>
      <c r="K335" s="22"/>
      <c r="L335" s="22"/>
      <c r="M335" s="22"/>
      <c r="N335" s="22"/>
    </row>
    <row r="336" spans="1:14">
      <c r="A336" t="s">
        <v>371</v>
      </c>
      <c r="C336" s="13">
        <v>5.7757E-7</v>
      </c>
      <c r="D336" t="s">
        <v>13</v>
      </c>
      <c r="E336" s="26" t="s">
        <v>83</v>
      </c>
      <c r="F336" s="22"/>
      <c r="G336" t="s">
        <v>336</v>
      </c>
      <c r="H336" s="22" t="s">
        <v>15</v>
      </c>
      <c r="I336" s="22" t="s">
        <v>329</v>
      </c>
      <c r="J336" s="22"/>
      <c r="K336" s="22"/>
      <c r="L336" s="22"/>
      <c r="M336" s="22"/>
      <c r="N336" s="22"/>
    </row>
    <row r="337" spans="1:34">
      <c r="A337" t="s">
        <v>372</v>
      </c>
      <c r="C337" s="13">
        <v>2.1658999999999999E-8</v>
      </c>
      <c r="D337" t="s">
        <v>13</v>
      </c>
      <c r="E337" s="26" t="s">
        <v>83</v>
      </c>
      <c r="F337" s="22"/>
      <c r="G337" t="s">
        <v>336</v>
      </c>
      <c r="H337" s="22" t="s">
        <v>15</v>
      </c>
      <c r="I337" s="22" t="s">
        <v>329</v>
      </c>
      <c r="J337" s="22"/>
      <c r="K337" s="22"/>
      <c r="L337" s="22"/>
      <c r="M337" s="22"/>
      <c r="N337" s="22"/>
    </row>
    <row r="338" spans="1:34">
      <c r="A338" t="s">
        <v>373</v>
      </c>
      <c r="C338" s="13">
        <v>3.6097999999999997E-8</v>
      </c>
      <c r="D338" t="s">
        <v>13</v>
      </c>
      <c r="E338" s="26" t="s">
        <v>83</v>
      </c>
      <c r="F338" s="22"/>
      <c r="G338" t="s">
        <v>336</v>
      </c>
      <c r="H338" s="22" t="s">
        <v>15</v>
      </c>
      <c r="I338" s="22" t="s">
        <v>329</v>
      </c>
      <c r="J338" s="22"/>
      <c r="K338" s="22"/>
      <c r="L338" s="22"/>
      <c r="M338" s="22"/>
      <c r="N338" s="22"/>
    </row>
    <row r="339" spans="1:34">
      <c r="A339" t="s">
        <v>374</v>
      </c>
      <c r="C339" s="13">
        <v>2.6472E-7</v>
      </c>
      <c r="D339" t="s">
        <v>13</v>
      </c>
      <c r="E339" s="26" t="s">
        <v>83</v>
      </c>
      <c r="F339" s="22"/>
      <c r="G339" t="s">
        <v>336</v>
      </c>
      <c r="H339" s="22" t="s">
        <v>15</v>
      </c>
      <c r="I339" s="22" t="s">
        <v>329</v>
      </c>
      <c r="J339" s="22"/>
      <c r="K339" s="22"/>
      <c r="L339" s="22"/>
      <c r="M339" s="22"/>
      <c r="N339" s="22"/>
    </row>
    <row r="340" spans="1:34">
      <c r="A340" t="s">
        <v>375</v>
      </c>
      <c r="C340" s="13">
        <v>1.2032999999999999E-7</v>
      </c>
      <c r="D340" t="s">
        <v>13</v>
      </c>
      <c r="E340" s="26" t="s">
        <v>83</v>
      </c>
      <c r="F340" s="22"/>
      <c r="G340" t="s">
        <v>336</v>
      </c>
      <c r="H340" s="22" t="s">
        <v>15</v>
      </c>
      <c r="I340" s="22" t="s">
        <v>329</v>
      </c>
      <c r="J340" s="22"/>
      <c r="K340" s="22"/>
      <c r="L340" s="22"/>
      <c r="M340" s="22"/>
      <c r="N340" s="22"/>
    </row>
    <row r="341" spans="1:34">
      <c r="A341" t="s">
        <v>376</v>
      </c>
      <c r="C341" s="13">
        <v>2.6436999999999998E-7</v>
      </c>
      <c r="D341" t="s">
        <v>13</v>
      </c>
      <c r="E341" s="26" t="s">
        <v>83</v>
      </c>
      <c r="F341" s="22"/>
      <c r="G341" t="s">
        <v>336</v>
      </c>
      <c r="H341" s="22" t="s">
        <v>15</v>
      </c>
      <c r="I341" s="22" t="s">
        <v>329</v>
      </c>
      <c r="J341" s="22"/>
      <c r="K341" s="22"/>
      <c r="L341" s="22"/>
      <c r="M341" s="22"/>
      <c r="N341" s="22"/>
    </row>
    <row r="342" spans="1:34">
      <c r="A342" t="s">
        <v>93</v>
      </c>
      <c r="C342" s="13">
        <v>5.9736877488796199E-2</v>
      </c>
      <c r="D342" t="s">
        <v>91</v>
      </c>
      <c r="E342" s="26" t="s">
        <v>83</v>
      </c>
      <c r="F342" s="22"/>
      <c r="G342" t="s">
        <v>167</v>
      </c>
      <c r="H342" s="22" t="s">
        <v>15</v>
      </c>
      <c r="I342" s="22" t="s">
        <v>329</v>
      </c>
      <c r="J342" s="22"/>
      <c r="K342" s="22"/>
      <c r="L342" s="22"/>
      <c r="M342" s="22"/>
      <c r="N342" s="22"/>
    </row>
    <row r="343" spans="1:34">
      <c r="A343" t="s">
        <v>166</v>
      </c>
      <c r="C343" s="13">
        <v>1.1639108E-2</v>
      </c>
      <c r="D343" t="s">
        <v>13</v>
      </c>
      <c r="E343" s="26" t="s">
        <v>83</v>
      </c>
      <c r="F343" s="22"/>
      <c r="G343" t="s">
        <v>167</v>
      </c>
      <c r="H343" s="22" t="s">
        <v>15</v>
      </c>
      <c r="I343" s="22" t="s">
        <v>329</v>
      </c>
      <c r="J343" s="22"/>
      <c r="K343" s="22"/>
      <c r="L343" s="22"/>
      <c r="M343" s="22"/>
      <c r="N343" s="22"/>
    </row>
    <row r="344" spans="1:34">
      <c r="A344" t="s">
        <v>93</v>
      </c>
      <c r="C344" s="13">
        <v>1.4934219372198999E-2</v>
      </c>
      <c r="D344" t="s">
        <v>91</v>
      </c>
      <c r="E344" s="26" t="s">
        <v>83</v>
      </c>
      <c r="F344" s="22"/>
      <c r="G344" t="s">
        <v>208</v>
      </c>
      <c r="H344" s="22" t="s">
        <v>15</v>
      </c>
      <c r="I344" s="22" t="s">
        <v>329</v>
      </c>
      <c r="J344" s="22"/>
      <c r="K344" s="22"/>
      <c r="L344" s="22"/>
      <c r="M344" s="22"/>
      <c r="N344" s="22"/>
    </row>
    <row r="345" spans="1:34">
      <c r="A345" t="s">
        <v>377</v>
      </c>
      <c r="C345" s="13">
        <v>9.7541999999999995E-5</v>
      </c>
      <c r="D345" t="s">
        <v>13</v>
      </c>
      <c r="E345" s="26" t="s">
        <v>83</v>
      </c>
      <c r="F345" s="22"/>
      <c r="G345" t="s">
        <v>208</v>
      </c>
      <c r="H345" s="22" t="s">
        <v>15</v>
      </c>
      <c r="I345" t="s">
        <v>329</v>
      </c>
      <c r="J345" s="22"/>
      <c r="K345" s="22"/>
      <c r="L345" s="22"/>
      <c r="M345" s="22"/>
      <c r="N345" s="22"/>
    </row>
    <row r="346" spans="1:34">
      <c r="A346" t="s">
        <v>378</v>
      </c>
      <c r="C346" s="13">
        <v>7.5147999999999996E-6</v>
      </c>
      <c r="D346" t="s">
        <v>13</v>
      </c>
      <c r="E346" s="26"/>
      <c r="F346" s="22"/>
      <c r="G346" t="s">
        <v>208</v>
      </c>
      <c r="H346" s="22" t="s">
        <v>15</v>
      </c>
      <c r="I346" t="s">
        <v>329</v>
      </c>
      <c r="J346" s="22"/>
      <c r="K346" s="22"/>
      <c r="L346" s="22"/>
      <c r="M346" s="22"/>
      <c r="N346" s="22"/>
    </row>
    <row r="347" spans="1:34">
      <c r="A347" t="s">
        <v>379</v>
      </c>
      <c r="C347" s="13">
        <v>0</v>
      </c>
      <c r="D347" t="s">
        <v>91</v>
      </c>
      <c r="E347" s="26"/>
      <c r="F347" s="22"/>
      <c r="G347" t="s">
        <v>92</v>
      </c>
      <c r="H347" s="22" t="s">
        <v>15</v>
      </c>
      <c r="I347" t="s">
        <v>518</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151</v>
      </c>
      <c r="C349" s="25"/>
      <c r="D349" s="26"/>
      <c r="E349" s="26"/>
      <c r="F349" s="26"/>
      <c r="G349" s="26"/>
      <c r="H349" s="26"/>
      <c r="I349" s="26"/>
    </row>
    <row r="350" spans="1:34">
      <c r="A350" s="24" t="s">
        <v>11</v>
      </c>
      <c r="B350" s="26" t="s">
        <v>248</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152</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151</v>
      </c>
      <c r="B358" s="31" t="s">
        <v>152</v>
      </c>
      <c r="C358" s="32">
        <v>1</v>
      </c>
      <c r="D358" s="26" t="s">
        <v>13</v>
      </c>
      <c r="E358" s="31"/>
      <c r="F358" s="31"/>
      <c r="G358" s="31" t="s">
        <v>28</v>
      </c>
      <c r="H358" s="31" t="s">
        <v>18</v>
      </c>
      <c r="I358" s="31"/>
    </row>
    <row r="359" spans="1:34">
      <c r="A359" s="31" t="s">
        <v>156</v>
      </c>
      <c r="B359" s="31" t="s">
        <v>157</v>
      </c>
      <c r="C359" s="32">
        <v>0.01</v>
      </c>
      <c r="D359" s="26" t="s">
        <v>158</v>
      </c>
      <c r="E359" s="31" t="s">
        <v>131</v>
      </c>
      <c r="F359" s="31"/>
      <c r="G359" s="31" t="s">
        <v>36</v>
      </c>
      <c r="H359" s="31" t="s">
        <v>12</v>
      </c>
      <c r="I359" s="31" t="s">
        <v>209</v>
      </c>
    </row>
    <row r="360" spans="1:34">
      <c r="A360" s="31" t="s">
        <v>381</v>
      </c>
      <c r="B360" s="22" t="s">
        <v>380</v>
      </c>
      <c r="C360" s="32">
        <v>1</v>
      </c>
      <c r="D360" s="26" t="s">
        <v>13</v>
      </c>
      <c r="E360" s="31"/>
      <c r="F360" s="31"/>
      <c r="G360" s="22" t="s">
        <v>28</v>
      </c>
      <c r="H360" s="31" t="s">
        <v>12</v>
      </c>
      <c r="I360" s="31"/>
    </row>
    <row r="361" spans="1:34">
      <c r="A361" s="31" t="s">
        <v>34</v>
      </c>
      <c r="B361" s="31" t="s">
        <v>33</v>
      </c>
      <c r="C361" s="32">
        <v>3.7599999999999999E-3</v>
      </c>
      <c r="D361" s="26" t="s">
        <v>19</v>
      </c>
      <c r="E361" s="31" t="s">
        <v>131</v>
      </c>
      <c r="F361" s="31"/>
      <c r="G361" s="31" t="s">
        <v>28</v>
      </c>
      <c r="H361" s="31" t="s">
        <v>12</v>
      </c>
      <c r="I361" s="31" t="s">
        <v>205</v>
      </c>
    </row>
    <row r="362" spans="1:34">
      <c r="A362" s="31" t="s">
        <v>204</v>
      </c>
      <c r="B362" s="31" t="s">
        <v>203</v>
      </c>
      <c r="C362" s="32">
        <v>8.4999999999999995E-4</v>
      </c>
      <c r="D362" s="26" t="s">
        <v>13</v>
      </c>
      <c r="E362" s="31" t="s">
        <v>131</v>
      </c>
      <c r="F362" s="31"/>
      <c r="G362" s="31" t="s">
        <v>36</v>
      </c>
      <c r="H362" s="31" t="s">
        <v>12</v>
      </c>
      <c r="I362" s="31" t="s">
        <v>205</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154</v>
      </c>
      <c r="C364" s="25"/>
      <c r="D364" s="26"/>
      <c r="E364" s="26"/>
      <c r="F364" s="26"/>
      <c r="G364" s="26"/>
      <c r="H364" s="26"/>
      <c r="I364" s="26"/>
    </row>
    <row r="365" spans="1:34">
      <c r="A365" s="24" t="s">
        <v>11</v>
      </c>
      <c r="B365" s="26" t="s">
        <v>249</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155</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154</v>
      </c>
      <c r="B373" s="31" t="s">
        <v>159</v>
      </c>
      <c r="C373" s="32">
        <v>1</v>
      </c>
      <c r="D373" s="26" t="s">
        <v>13</v>
      </c>
      <c r="E373" s="31" t="s">
        <v>122</v>
      </c>
      <c r="F373" s="31"/>
      <c r="G373" s="31" t="s">
        <v>28</v>
      </c>
      <c r="H373" s="31" t="s">
        <v>18</v>
      </c>
      <c r="I373" s="31"/>
    </row>
    <row r="374" spans="1:34">
      <c r="A374" s="31" t="s">
        <v>156</v>
      </c>
      <c r="B374" s="31" t="s">
        <v>157</v>
      </c>
      <c r="C374" s="32">
        <v>0.01</v>
      </c>
      <c r="D374" s="26" t="s">
        <v>158</v>
      </c>
      <c r="E374" s="31" t="s">
        <v>131</v>
      </c>
      <c r="F374" s="31"/>
      <c r="G374" s="31" t="s">
        <v>36</v>
      </c>
      <c r="H374" s="31" t="s">
        <v>12</v>
      </c>
      <c r="I374" s="31" t="s">
        <v>209</v>
      </c>
    </row>
    <row r="375" spans="1:34">
      <c r="A375" s="31" t="s">
        <v>34</v>
      </c>
      <c r="B375" s="31" t="s">
        <v>33</v>
      </c>
      <c r="C375" s="32">
        <v>3.7599999999999999E-3</v>
      </c>
      <c r="D375" s="26" t="s">
        <v>19</v>
      </c>
      <c r="E375" s="31" t="s">
        <v>131</v>
      </c>
      <c r="F375" s="31"/>
      <c r="G375" s="31" t="s">
        <v>28</v>
      </c>
      <c r="H375" s="31" t="s">
        <v>12</v>
      </c>
      <c r="I375" s="31" t="s">
        <v>205</v>
      </c>
    </row>
    <row r="376" spans="1:34">
      <c r="A376" s="31" t="s">
        <v>204</v>
      </c>
      <c r="B376" s="31" t="s">
        <v>203</v>
      </c>
      <c r="C376" s="32">
        <v>8.4999999999999995E-4</v>
      </c>
      <c r="D376" s="26" t="s">
        <v>13</v>
      </c>
      <c r="E376" s="31" t="s">
        <v>131</v>
      </c>
      <c r="F376" s="31"/>
      <c r="G376" s="31" t="s">
        <v>36</v>
      </c>
      <c r="H376" s="31" t="s">
        <v>12</v>
      </c>
      <c r="I376" s="31" t="s">
        <v>205</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128</v>
      </c>
      <c r="C378" s="25"/>
      <c r="D378" s="26"/>
      <c r="E378" s="26"/>
      <c r="F378" s="26"/>
      <c r="G378" s="26"/>
      <c r="H378" s="26"/>
      <c r="I378" s="26"/>
    </row>
    <row r="379" spans="1:34">
      <c r="A379" s="24" t="s">
        <v>11</v>
      </c>
      <c r="B379" s="26" t="s">
        <v>250</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129</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207</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128</v>
      </c>
      <c r="B387" s="31" t="s">
        <v>129</v>
      </c>
      <c r="C387" s="32">
        <v>1</v>
      </c>
      <c r="D387" s="26" t="s">
        <v>13</v>
      </c>
      <c r="E387" s="31" t="s">
        <v>122</v>
      </c>
      <c r="F387" s="31"/>
      <c r="G387" s="31" t="s">
        <v>28</v>
      </c>
      <c r="H387" s="31" t="s">
        <v>18</v>
      </c>
      <c r="I387" s="31"/>
    </row>
    <row r="388" spans="1:34">
      <c r="A388" s="31" t="s">
        <v>156</v>
      </c>
      <c r="B388" s="31" t="s">
        <v>157</v>
      </c>
      <c r="C388" s="32">
        <v>0.01</v>
      </c>
      <c r="D388" s="26" t="s">
        <v>158</v>
      </c>
      <c r="E388" s="31" t="s">
        <v>131</v>
      </c>
      <c r="F388" s="31"/>
      <c r="G388" s="31" t="s">
        <v>36</v>
      </c>
      <c r="H388" s="31" t="s">
        <v>12</v>
      </c>
      <c r="I388" s="31" t="s">
        <v>209</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145</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251</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146</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199</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145</v>
      </c>
      <c r="B399" s="31" t="s">
        <v>146</v>
      </c>
      <c r="C399" s="32">
        <v>1</v>
      </c>
      <c r="D399" s="26" t="s">
        <v>13</v>
      </c>
      <c r="E399" s="31" t="s">
        <v>122</v>
      </c>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156</v>
      </c>
      <c r="B400" s="31" t="s">
        <v>157</v>
      </c>
      <c r="C400" s="32">
        <v>0.01</v>
      </c>
      <c r="D400" s="26" t="s">
        <v>158</v>
      </c>
      <c r="E400" s="31" t="s">
        <v>131</v>
      </c>
      <c r="F400" s="31"/>
      <c r="G400" s="31" t="s">
        <v>36</v>
      </c>
      <c r="H400" s="31" t="s">
        <v>12</v>
      </c>
      <c r="I400" s="31" t="s">
        <v>209</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t="s">
        <v>131</v>
      </c>
      <c r="F401" s="31"/>
      <c r="G401" s="31" t="s">
        <v>28</v>
      </c>
      <c r="H401" s="31" t="s">
        <v>12</v>
      </c>
      <c r="I401" s="31" t="s">
        <v>205</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204</v>
      </c>
      <c r="B402" t="s">
        <v>203</v>
      </c>
      <c r="C402" s="37">
        <v>8.4999999999999995E-4</v>
      </c>
      <c r="D402" s="26" t="s">
        <v>13</v>
      </c>
      <c r="E402" s="31" t="s">
        <v>131</v>
      </c>
      <c r="F402" s="31"/>
      <c r="G402" s="31" t="s">
        <v>36</v>
      </c>
      <c r="H402" s="31" t="s">
        <v>12</v>
      </c>
      <c r="I402" s="31" t="s">
        <v>205</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200</v>
      </c>
      <c r="C404" s="25"/>
      <c r="D404" s="26"/>
      <c r="E404" s="26"/>
      <c r="F404" s="26"/>
      <c r="G404" s="26"/>
      <c r="H404" s="26"/>
      <c r="I404" s="26"/>
    </row>
    <row r="405" spans="1:34">
      <c r="A405" s="24" t="s">
        <v>11</v>
      </c>
      <c r="B405" s="26" t="s">
        <v>252</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201</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199</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200</v>
      </c>
      <c r="B413" s="31" t="s">
        <v>201</v>
      </c>
      <c r="C413" s="32">
        <v>1</v>
      </c>
      <c r="D413" s="26" t="s">
        <v>13</v>
      </c>
      <c r="E413" s="31" t="s">
        <v>122</v>
      </c>
      <c r="F413" s="31"/>
      <c r="G413" s="31" t="s">
        <v>28</v>
      </c>
      <c r="H413" s="31" t="s">
        <v>18</v>
      </c>
      <c r="I413" s="31"/>
    </row>
    <row r="414" spans="1:34">
      <c r="A414" s="31" t="s">
        <v>202</v>
      </c>
      <c r="B414" s="31" t="s">
        <v>202</v>
      </c>
      <c r="C414" s="37">
        <v>0.1</v>
      </c>
      <c r="D414" s="26" t="s">
        <v>158</v>
      </c>
      <c r="E414" s="31" t="s">
        <v>131</v>
      </c>
      <c r="F414" s="31"/>
      <c r="G414" s="31" t="s">
        <v>26</v>
      </c>
      <c r="H414" s="31" t="s">
        <v>12</v>
      </c>
      <c r="I414" s="31" t="s">
        <v>206</v>
      </c>
    </row>
    <row r="415" spans="1:34">
      <c r="A415" s="31" t="s">
        <v>34</v>
      </c>
      <c r="B415" s="31" t="s">
        <v>33</v>
      </c>
      <c r="C415" s="37">
        <v>3.7599999999999999E-3</v>
      </c>
      <c r="D415" s="26" t="s">
        <v>19</v>
      </c>
      <c r="E415" s="31" t="s">
        <v>131</v>
      </c>
      <c r="F415" s="31"/>
      <c r="G415" s="31" t="s">
        <v>28</v>
      </c>
      <c r="H415" s="31" t="s">
        <v>12</v>
      </c>
      <c r="I415" s="31" t="s">
        <v>205</v>
      </c>
    </row>
    <row r="416" spans="1:34">
      <c r="A416" t="s">
        <v>204</v>
      </c>
      <c r="B416" t="s">
        <v>203</v>
      </c>
      <c r="C416" s="37">
        <v>8.4999999999999995E-4</v>
      </c>
      <c r="D416" s="26" t="s">
        <v>13</v>
      </c>
      <c r="E416" s="31" t="s">
        <v>131</v>
      </c>
      <c r="F416" s="31"/>
      <c r="G416" s="31" t="s">
        <v>36</v>
      </c>
      <c r="H416" s="31" t="s">
        <v>12</v>
      </c>
      <c r="I416" s="31" t="s">
        <v>205</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254</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314</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253</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270</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254</v>
      </c>
      <c r="B427" s="31" t="s">
        <v>253</v>
      </c>
      <c r="C427" s="32">
        <v>1</v>
      </c>
      <c r="D427" s="26" t="s">
        <v>13</v>
      </c>
      <c r="E427" s="31" t="s">
        <v>122</v>
      </c>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156</v>
      </c>
      <c r="B428" s="31" t="s">
        <v>157</v>
      </c>
      <c r="C428" s="32">
        <v>0.01</v>
      </c>
      <c r="D428" s="26" t="s">
        <v>158</v>
      </c>
      <c r="E428" s="31" t="s">
        <v>131</v>
      </c>
      <c r="F428" s="31"/>
      <c r="G428" s="31" t="s">
        <v>36</v>
      </c>
      <c r="H428" s="31" t="s">
        <v>12</v>
      </c>
      <c r="I428" s="31" t="s">
        <v>209</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256</v>
      </c>
      <c r="B429" s="31" t="s">
        <v>255</v>
      </c>
      <c r="C429" s="32">
        <v>0</v>
      </c>
      <c r="D429" s="26" t="s">
        <v>13</v>
      </c>
      <c r="E429" s="31" t="s">
        <v>131</v>
      </c>
      <c r="F429" s="31"/>
      <c r="G429" s="31" t="s">
        <v>134</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257</v>
      </c>
      <c r="B430" s="31" t="s">
        <v>258</v>
      </c>
      <c r="C430" s="32">
        <v>0</v>
      </c>
      <c r="D430" s="26" t="s">
        <v>13</v>
      </c>
      <c r="E430" s="31" t="s">
        <v>131</v>
      </c>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259</v>
      </c>
      <c r="B431" s="31" t="s">
        <v>260</v>
      </c>
      <c r="C431" s="32">
        <v>1</v>
      </c>
      <c r="D431" s="26" t="s">
        <v>13</v>
      </c>
      <c r="E431" s="31" t="s">
        <v>131</v>
      </c>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263</v>
      </c>
      <c r="B432" s="31" t="s">
        <v>264</v>
      </c>
      <c r="C432" s="32">
        <v>0</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265</v>
      </c>
      <c r="B433" s="31" t="s">
        <v>266</v>
      </c>
      <c r="C433" s="32">
        <v>0</v>
      </c>
      <c r="D433" s="26" t="s">
        <v>13</v>
      </c>
      <c r="E433" s="31" t="s">
        <v>131</v>
      </c>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267</v>
      </c>
      <c r="B434" s="31" t="s">
        <v>268</v>
      </c>
      <c r="C434" s="32">
        <v>0</v>
      </c>
      <c r="D434" s="26" t="s">
        <v>13</v>
      </c>
      <c r="E434" s="31" t="s">
        <v>131</v>
      </c>
      <c r="F434" s="31"/>
      <c r="G434" s="31" t="s">
        <v>96</v>
      </c>
      <c r="H434" s="31" t="s">
        <v>12</v>
      </c>
      <c r="I434" s="31" t="s">
        <v>269</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301</v>
      </c>
      <c r="B435" s="31" t="s">
        <v>302</v>
      </c>
      <c r="C435" s="32">
        <v>0</v>
      </c>
      <c r="D435" s="26" t="s">
        <v>13</v>
      </c>
      <c r="E435" s="31" t="s">
        <v>131</v>
      </c>
      <c r="F435" s="31"/>
      <c r="G435" s="31" t="s">
        <v>134</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259</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262</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253</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261</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259</v>
      </c>
      <c r="B446" s="31" t="s">
        <v>260</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169</v>
      </c>
      <c r="B447" s="31" t="s">
        <v>160</v>
      </c>
      <c r="C447" s="25">
        <v>4.0000000000000001E-3</v>
      </c>
      <c r="D447" s="26" t="s">
        <v>13</v>
      </c>
      <c r="E447" s="31" t="s">
        <v>131</v>
      </c>
      <c r="F447" s="31"/>
      <c r="G447" s="31" t="s">
        <v>28</v>
      </c>
      <c r="H447" s="31" t="s">
        <v>12</v>
      </c>
      <c r="I447" s="31" t="s">
        <v>161</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162</v>
      </c>
      <c r="B448" s="31" t="s">
        <v>163</v>
      </c>
      <c r="C448" s="25">
        <v>5.0000000000000002E-5</v>
      </c>
      <c r="D448" s="26" t="s">
        <v>164</v>
      </c>
      <c r="E448" s="31" t="s">
        <v>131</v>
      </c>
      <c r="F448" s="31"/>
      <c r="G448" s="31" t="s">
        <v>96</v>
      </c>
      <c r="H448" s="31" t="s">
        <v>12</v>
      </c>
      <c r="I448" s="31" t="s">
        <v>165</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166</v>
      </c>
      <c r="B449"/>
      <c r="C449" s="25">
        <v>4.4000000000000003E-3</v>
      </c>
      <c r="D449" s="26" t="s">
        <v>13</v>
      </c>
      <c r="E449" s="26" t="s">
        <v>83</v>
      </c>
      <c r="F449" s="26" t="s">
        <v>167</v>
      </c>
      <c r="H449" s="26" t="s">
        <v>15</v>
      </c>
      <c r="I449" s="26" t="s">
        <v>168</v>
      </c>
    </row>
    <row r="450" spans="1:9" s="49" customFormat="1">
      <c r="B450" s="50"/>
    </row>
    <row r="451" spans="1:9">
      <c r="A451" s="24" t="s">
        <v>1</v>
      </c>
      <c r="B451" s="24" t="s">
        <v>195</v>
      </c>
    </row>
    <row r="452" spans="1:9">
      <c r="A452" s="27" t="s">
        <v>11</v>
      </c>
      <c r="B452" t="s">
        <v>303</v>
      </c>
    </row>
    <row r="453" spans="1:9">
      <c r="A453" s="27" t="s">
        <v>2</v>
      </c>
      <c r="B453" t="s">
        <v>28</v>
      </c>
    </row>
    <row r="454" spans="1:9">
      <c r="A454" s="27" t="s">
        <v>3</v>
      </c>
      <c r="B454" s="28">
        <v>1</v>
      </c>
    </row>
    <row r="455" spans="1:9">
      <c r="A455" s="27" t="s">
        <v>4</v>
      </c>
      <c r="B455" t="s">
        <v>170</v>
      </c>
    </row>
    <row r="456" spans="1:9">
      <c r="A456" s="27" t="s">
        <v>6</v>
      </c>
      <c r="B456" t="s">
        <v>91</v>
      </c>
    </row>
    <row r="457" spans="1:9">
      <c r="A457" s="27" t="s">
        <v>57</v>
      </c>
      <c r="B457"/>
    </row>
    <row r="458" spans="1:9" ht="15.6">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195</v>
      </c>
      <c r="B460" t="s">
        <v>170</v>
      </c>
      <c r="C460">
        <v>1</v>
      </c>
      <c r="D460" t="s">
        <v>91</v>
      </c>
      <c r="E460" s="31"/>
      <c r="G460" t="s">
        <v>28</v>
      </c>
      <c r="H460" t="s">
        <v>18</v>
      </c>
    </row>
    <row r="461" spans="1:9">
      <c r="A461" t="s">
        <v>175</v>
      </c>
      <c r="B461" t="s">
        <v>176</v>
      </c>
      <c r="C461">
        <v>1.5153830138359706E-4</v>
      </c>
      <c r="D461" t="s">
        <v>13</v>
      </c>
      <c r="E461" t="s">
        <v>131</v>
      </c>
      <c r="G461" t="s">
        <v>96</v>
      </c>
      <c r="H461" t="s">
        <v>12</v>
      </c>
    </row>
    <row r="462" spans="1:9">
      <c r="A462" t="s">
        <v>177</v>
      </c>
      <c r="B462" t="s">
        <v>95</v>
      </c>
      <c r="C462">
        <v>5.4000000000000001E-11</v>
      </c>
      <c r="D462" t="s">
        <v>6</v>
      </c>
      <c r="E462" t="s">
        <v>131</v>
      </c>
      <c r="G462" t="s">
        <v>96</v>
      </c>
      <c r="H462" t="s">
        <v>12</v>
      </c>
    </row>
    <row r="463" spans="1:9">
      <c r="A463" t="s">
        <v>27</v>
      </c>
      <c r="B463" t="s">
        <v>20</v>
      </c>
      <c r="C463">
        <v>0.9818888836474815</v>
      </c>
      <c r="D463" t="s">
        <v>19</v>
      </c>
      <c r="E463" t="s">
        <v>131</v>
      </c>
      <c r="G463" t="s">
        <v>28</v>
      </c>
      <c r="H463" t="s">
        <v>12</v>
      </c>
    </row>
    <row r="464" spans="1:9">
      <c r="A464" t="s">
        <v>105</v>
      </c>
      <c r="B464" t="s">
        <v>106</v>
      </c>
      <c r="C464">
        <v>1.1400000000000001E-4</v>
      </c>
      <c r="D464" t="s">
        <v>13</v>
      </c>
      <c r="E464" t="s">
        <v>131</v>
      </c>
      <c r="G464" t="s">
        <v>36</v>
      </c>
      <c r="H464" t="s">
        <v>12</v>
      </c>
    </row>
    <row r="465" spans="1:9">
      <c r="A465" t="s">
        <v>178</v>
      </c>
      <c r="B465" t="s">
        <v>179</v>
      </c>
      <c r="C465">
        <v>1.01E-4</v>
      </c>
      <c r="D465" t="s">
        <v>13</v>
      </c>
      <c r="E465" t="s">
        <v>131</v>
      </c>
      <c r="G465" t="s">
        <v>96</v>
      </c>
      <c r="H465" t="s">
        <v>12</v>
      </c>
    </row>
    <row r="466" spans="1:9">
      <c r="A466" t="s">
        <v>289</v>
      </c>
      <c r="B466" s="13" t="s">
        <v>121</v>
      </c>
      <c r="C466">
        <v>1.8942287672949629</v>
      </c>
      <c r="D466" s="26" t="s">
        <v>91</v>
      </c>
      <c r="G466" s="31" t="s">
        <v>134</v>
      </c>
      <c r="H466" t="s">
        <v>12</v>
      </c>
    </row>
    <row r="467" spans="1:9" s="26" customFormat="1">
      <c r="A467" s="31" t="s">
        <v>245</v>
      </c>
      <c r="B467" s="31" t="s">
        <v>245</v>
      </c>
      <c r="C467" s="45">
        <v>1</v>
      </c>
      <c r="D467" s="26" t="s">
        <v>6</v>
      </c>
      <c r="E467"/>
      <c r="F467" s="24"/>
      <c r="G467" s="31" t="s">
        <v>28</v>
      </c>
      <c r="H467" t="s">
        <v>12</v>
      </c>
      <c r="I467" s="24"/>
    </row>
    <row r="468" spans="1:9">
      <c r="A468" t="s">
        <v>138</v>
      </c>
      <c r="B468"/>
      <c r="C468">
        <v>1.7715245298393998</v>
      </c>
      <c r="D468" t="s">
        <v>13</v>
      </c>
      <c r="E468" t="s">
        <v>83</v>
      </c>
      <c r="F468" t="s">
        <v>109</v>
      </c>
      <c r="H468" t="s">
        <v>15</v>
      </c>
    </row>
    <row r="469" spans="1:9">
      <c r="A469" t="s">
        <v>171</v>
      </c>
      <c r="B469"/>
      <c r="C469">
        <v>1.28</v>
      </c>
      <c r="D469" t="s">
        <v>35</v>
      </c>
      <c r="E469" t="s">
        <v>83</v>
      </c>
      <c r="F469" t="s">
        <v>109</v>
      </c>
      <c r="H469" t="s">
        <v>15</v>
      </c>
    </row>
    <row r="470" spans="1:9">
      <c r="A470" t="s">
        <v>172</v>
      </c>
      <c r="B470"/>
      <c r="C470">
        <v>0</v>
      </c>
      <c r="D470" t="s">
        <v>13</v>
      </c>
      <c r="E470" t="s">
        <v>83</v>
      </c>
      <c r="F470" t="s">
        <v>109</v>
      </c>
      <c r="H470" t="s">
        <v>15</v>
      </c>
    </row>
    <row r="471" spans="1:9">
      <c r="A471" t="s">
        <v>110</v>
      </c>
      <c r="B471"/>
      <c r="C471">
        <v>7.0244489999999995E-3</v>
      </c>
      <c r="D471" t="s">
        <v>13</v>
      </c>
      <c r="E471" t="s">
        <v>83</v>
      </c>
      <c r="F471" t="s">
        <v>109</v>
      </c>
      <c r="H471" t="s">
        <v>15</v>
      </c>
    </row>
    <row r="472" spans="1:9">
      <c r="A472" t="s">
        <v>173</v>
      </c>
      <c r="B472"/>
      <c r="C472">
        <v>5.1560000000000002E-2</v>
      </c>
      <c r="D472" t="s">
        <v>13</v>
      </c>
      <c r="E472" t="s">
        <v>83</v>
      </c>
      <c r="F472" t="s">
        <v>25</v>
      </c>
      <c r="H472" t="s">
        <v>15</v>
      </c>
    </row>
    <row r="473" spans="1:9">
      <c r="A473" t="s">
        <v>89</v>
      </c>
      <c r="B473"/>
      <c r="C473">
        <v>6.5989999999999998E-6</v>
      </c>
      <c r="D473" t="s">
        <v>13</v>
      </c>
      <c r="E473" t="s">
        <v>83</v>
      </c>
      <c r="F473" t="s">
        <v>174</v>
      </c>
      <c r="H473" t="s">
        <v>15</v>
      </c>
    </row>
    <row r="474" spans="1:9" s="49" customFormat="1">
      <c r="B474" s="50"/>
    </row>
    <row r="475" spans="1:9">
      <c r="A475" s="24" t="s">
        <v>1</v>
      </c>
      <c r="B475" s="24" t="s">
        <v>183</v>
      </c>
    </row>
    <row r="476" spans="1:9">
      <c r="A476" s="27" t="s">
        <v>11</v>
      </c>
      <c r="B476" t="s">
        <v>304</v>
      </c>
    </row>
    <row r="477" spans="1:9">
      <c r="A477" s="27" t="s">
        <v>2</v>
      </c>
      <c r="B477" t="s">
        <v>28</v>
      </c>
    </row>
    <row r="478" spans="1:9">
      <c r="A478" s="27" t="s">
        <v>3</v>
      </c>
      <c r="B478" s="28">
        <v>1</v>
      </c>
    </row>
    <row r="479" spans="1:9">
      <c r="A479" s="27" t="s">
        <v>4</v>
      </c>
      <c r="B479" t="s">
        <v>170</v>
      </c>
    </row>
    <row r="480" spans="1:9">
      <c r="A480" s="27" t="s">
        <v>6</v>
      </c>
      <c r="B480" t="s">
        <v>91</v>
      </c>
    </row>
    <row r="481" spans="1:9">
      <c r="A481" s="27" t="s">
        <v>57</v>
      </c>
      <c r="B481"/>
    </row>
    <row r="482" spans="1:9" ht="15.6">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183</v>
      </c>
      <c r="B484" t="s">
        <v>170</v>
      </c>
      <c r="C484">
        <v>1</v>
      </c>
      <c r="D484" t="s">
        <v>91</v>
      </c>
      <c r="E484" s="31"/>
      <c r="G484" t="s">
        <v>28</v>
      </c>
      <c r="H484" t="s">
        <v>18</v>
      </c>
    </row>
    <row r="485" spans="1:9">
      <c r="A485" t="s">
        <v>175</v>
      </c>
      <c r="B485" t="s">
        <v>176</v>
      </c>
      <c r="C485">
        <v>1.5328461905494623E-4</v>
      </c>
      <c r="D485" t="s">
        <v>13</v>
      </c>
      <c r="E485" t="s">
        <v>131</v>
      </c>
      <c r="G485" t="s">
        <v>96</v>
      </c>
      <c r="H485" t="s">
        <v>12</v>
      </c>
    </row>
    <row r="486" spans="1:9">
      <c r="A486" t="s">
        <v>177</v>
      </c>
      <c r="B486" t="s">
        <v>95</v>
      </c>
      <c r="C486">
        <v>5.4000000000000001E-11</v>
      </c>
      <c r="D486" t="s">
        <v>6</v>
      </c>
      <c r="E486" t="s">
        <v>131</v>
      </c>
      <c r="G486" t="s">
        <v>96</v>
      </c>
      <c r="H486" t="s">
        <v>12</v>
      </c>
    </row>
    <row r="487" spans="1:9">
      <c r="A487" t="s">
        <v>27</v>
      </c>
      <c r="B487" t="s">
        <v>20</v>
      </c>
      <c r="C487">
        <v>0.76289810836538974</v>
      </c>
      <c r="D487" t="s">
        <v>19</v>
      </c>
      <c r="E487" t="s">
        <v>131</v>
      </c>
      <c r="G487" t="s">
        <v>28</v>
      </c>
      <c r="H487" t="s">
        <v>12</v>
      </c>
    </row>
    <row r="488" spans="1:9">
      <c r="A488" t="s">
        <v>105</v>
      </c>
      <c r="B488" t="s">
        <v>106</v>
      </c>
      <c r="C488">
        <v>1.1400000000000001E-4</v>
      </c>
      <c r="D488" t="s">
        <v>13</v>
      </c>
      <c r="E488" t="s">
        <v>131</v>
      </c>
      <c r="G488" t="s">
        <v>36</v>
      </c>
      <c r="H488" t="s">
        <v>12</v>
      </c>
    </row>
    <row r="489" spans="1:9">
      <c r="A489" t="s">
        <v>178</v>
      </c>
      <c r="B489" t="s">
        <v>179</v>
      </c>
      <c r="C489">
        <v>1.01E-4</v>
      </c>
      <c r="D489" t="s">
        <v>13</v>
      </c>
      <c r="E489" t="s">
        <v>131</v>
      </c>
      <c r="G489" t="s">
        <v>96</v>
      </c>
      <c r="H489" t="s">
        <v>12</v>
      </c>
    </row>
    <row r="490" spans="1:9">
      <c r="A490" t="s">
        <v>289</v>
      </c>
      <c r="B490" s="13" t="s">
        <v>121</v>
      </c>
      <c r="C490">
        <v>1.9160577381868278</v>
      </c>
      <c r="D490" s="26" t="s">
        <v>91</v>
      </c>
      <c r="G490" s="31" t="s">
        <v>134</v>
      </c>
      <c r="H490" t="s">
        <v>12</v>
      </c>
    </row>
    <row r="491" spans="1:9" s="26" customFormat="1">
      <c r="A491" s="31" t="s">
        <v>245</v>
      </c>
      <c r="B491" s="31" t="s">
        <v>245</v>
      </c>
      <c r="C491" s="45">
        <v>1</v>
      </c>
      <c r="D491" s="26" t="s">
        <v>6</v>
      </c>
      <c r="E491"/>
      <c r="F491" s="24"/>
      <c r="G491" s="31" t="s">
        <v>28</v>
      </c>
      <c r="H491" t="s">
        <v>12</v>
      </c>
      <c r="I491" s="24"/>
    </row>
    <row r="492" spans="1:9">
      <c r="A492" t="s">
        <v>138</v>
      </c>
      <c r="B492"/>
      <c r="C492">
        <v>1.8288866704275042</v>
      </c>
      <c r="D492" t="s">
        <v>13</v>
      </c>
      <c r="E492" t="s">
        <v>83</v>
      </c>
      <c r="F492" t="s">
        <v>109</v>
      </c>
      <c r="H492" t="s">
        <v>15</v>
      </c>
    </row>
    <row r="493" spans="1:9">
      <c r="A493" t="s">
        <v>171</v>
      </c>
      <c r="B493"/>
      <c r="C493">
        <v>1.28</v>
      </c>
      <c r="D493" t="s">
        <v>35</v>
      </c>
      <c r="E493" t="s">
        <v>83</v>
      </c>
      <c r="F493" t="s">
        <v>109</v>
      </c>
      <c r="H493" t="s">
        <v>15</v>
      </c>
    </row>
    <row r="494" spans="1:9">
      <c r="A494" t="s">
        <v>172</v>
      </c>
      <c r="B494"/>
      <c r="C494">
        <v>0</v>
      </c>
      <c r="D494" t="s">
        <v>13</v>
      </c>
      <c r="E494" t="s">
        <v>83</v>
      </c>
      <c r="F494" t="s">
        <v>109</v>
      </c>
      <c r="H494" t="s">
        <v>15</v>
      </c>
    </row>
    <row r="495" spans="1:9">
      <c r="A495" t="s">
        <v>110</v>
      </c>
      <c r="B495"/>
      <c r="C495">
        <v>7.1053982999999999E-4</v>
      </c>
      <c r="D495" t="s">
        <v>13</v>
      </c>
      <c r="E495" t="s">
        <v>83</v>
      </c>
      <c r="F495" t="s">
        <v>109</v>
      </c>
      <c r="H495" t="s">
        <v>15</v>
      </c>
    </row>
    <row r="496" spans="1:9">
      <c r="A496" t="s">
        <v>173</v>
      </c>
      <c r="B496"/>
      <c r="C496">
        <v>5.1560000000000002E-2</v>
      </c>
      <c r="D496" t="s">
        <v>13</v>
      </c>
      <c r="E496" t="s">
        <v>83</v>
      </c>
      <c r="F496" t="s">
        <v>25</v>
      </c>
      <c r="H496" t="s">
        <v>15</v>
      </c>
    </row>
    <row r="497" spans="1:8">
      <c r="A497" t="s">
        <v>89</v>
      </c>
      <c r="B497"/>
      <c r="C497">
        <v>6.5989999999999998E-6</v>
      </c>
      <c r="D497" t="s">
        <v>13</v>
      </c>
      <c r="E497" t="s">
        <v>83</v>
      </c>
      <c r="F497" t="s">
        <v>174</v>
      </c>
      <c r="H497" t="s">
        <v>15</v>
      </c>
    </row>
    <row r="498" spans="1:8">
      <c r="A498" s="31" t="s">
        <v>30</v>
      </c>
      <c r="B498" s="31" t="s">
        <v>31</v>
      </c>
      <c r="C498" s="35">
        <v>0</v>
      </c>
      <c r="D498" s="31" t="s">
        <v>13</v>
      </c>
      <c r="E498" t="s">
        <v>131</v>
      </c>
      <c r="G498" s="31" t="s">
        <v>22</v>
      </c>
      <c r="H498" t="s">
        <v>12</v>
      </c>
    </row>
    <row r="499" spans="1:8">
      <c r="A499" s="31" t="s">
        <v>184</v>
      </c>
      <c r="B499" s="31" t="s">
        <v>185</v>
      </c>
      <c r="C499">
        <v>1.2300000000000001E-4</v>
      </c>
      <c r="D499" s="31" t="s">
        <v>13</v>
      </c>
      <c r="E499" t="s">
        <v>131</v>
      </c>
      <c r="G499" s="31" t="s">
        <v>96</v>
      </c>
      <c r="H499" t="s">
        <v>12</v>
      </c>
    </row>
    <row r="500" spans="1:8">
      <c r="A500" s="31" t="s">
        <v>186</v>
      </c>
      <c r="B500" s="31" t="s">
        <v>187</v>
      </c>
      <c r="C500">
        <v>6.9700000000000003E-4</v>
      </c>
      <c r="D500" s="31" t="s">
        <v>13</v>
      </c>
      <c r="E500" t="s">
        <v>131</v>
      </c>
      <c r="G500" s="31" t="s">
        <v>96</v>
      </c>
      <c r="H500" t="s">
        <v>12</v>
      </c>
    </row>
    <row r="501" spans="1:8">
      <c r="A501" t="s">
        <v>188</v>
      </c>
      <c r="B501" t="s">
        <v>189</v>
      </c>
      <c r="C501">
        <v>2.6400000000000001E-5</v>
      </c>
      <c r="D501" s="31" t="s">
        <v>13</v>
      </c>
      <c r="E501" t="s">
        <v>131</v>
      </c>
      <c r="G501" s="31" t="s">
        <v>96</v>
      </c>
      <c r="H501" t="s">
        <v>12</v>
      </c>
    </row>
    <row r="502" spans="1:8">
      <c r="A502" s="31" t="s">
        <v>190</v>
      </c>
      <c r="B502" s="32" t="s">
        <v>191</v>
      </c>
      <c r="C502">
        <v>0</v>
      </c>
      <c r="D502" s="31" t="s">
        <v>13</v>
      </c>
      <c r="E502" t="s">
        <v>131</v>
      </c>
      <c r="G502" s="31" t="s">
        <v>96</v>
      </c>
      <c r="H502" t="s">
        <v>12</v>
      </c>
    </row>
    <row r="503" spans="1:8">
      <c r="A503" s="31" t="s">
        <v>192</v>
      </c>
      <c r="B503" s="32" t="s">
        <v>193</v>
      </c>
      <c r="C503">
        <v>9.2899999999999995E-5</v>
      </c>
      <c r="D503" s="31" t="s">
        <v>13</v>
      </c>
      <c r="E503" t="s">
        <v>131</v>
      </c>
      <c r="G503" s="31" t="s">
        <v>96</v>
      </c>
      <c r="H503" t="s">
        <v>12</v>
      </c>
    </row>
    <row r="504" spans="1:8">
      <c r="A504" s="11" t="s">
        <v>194</v>
      </c>
      <c r="B504" s="32"/>
      <c r="C504">
        <v>1.3412404167307795E-2</v>
      </c>
      <c r="D504" s="31" t="s">
        <v>13</v>
      </c>
      <c r="E504" s="31" t="s">
        <v>83</v>
      </c>
      <c r="F504" t="s">
        <v>109</v>
      </c>
      <c r="H504" t="s">
        <v>15</v>
      </c>
    </row>
    <row r="505" spans="1:8">
      <c r="A505" s="11" t="s">
        <v>82</v>
      </c>
      <c r="B505" s="31"/>
      <c r="C505">
        <v>0.35255462382637631</v>
      </c>
      <c r="D505" s="31" t="s">
        <v>13</v>
      </c>
      <c r="E505" s="31" t="s">
        <v>83</v>
      </c>
      <c r="F505" t="s">
        <v>109</v>
      </c>
      <c r="H505" t="s">
        <v>15</v>
      </c>
    </row>
    <row r="506" spans="1:8" s="49" customFormat="1">
      <c r="B506" s="50"/>
    </row>
    <row r="507" spans="1:8">
      <c r="A507" s="24" t="s">
        <v>1</v>
      </c>
      <c r="B507" s="24" t="s">
        <v>196</v>
      </c>
    </row>
    <row r="508" spans="1:8">
      <c r="A508" s="27" t="s">
        <v>11</v>
      </c>
      <c r="B508" t="s">
        <v>305</v>
      </c>
    </row>
    <row r="509" spans="1:8">
      <c r="A509" s="27" t="s">
        <v>2</v>
      </c>
      <c r="B509" t="s">
        <v>28</v>
      </c>
    </row>
    <row r="510" spans="1:8">
      <c r="A510" s="27" t="s">
        <v>3</v>
      </c>
      <c r="B510" s="28">
        <v>1</v>
      </c>
    </row>
    <row r="511" spans="1:8">
      <c r="A511" s="27" t="s">
        <v>4</v>
      </c>
      <c r="B511" t="s">
        <v>170</v>
      </c>
    </row>
    <row r="512" spans="1:8">
      <c r="A512" s="27" t="s">
        <v>6</v>
      </c>
      <c r="B512" t="s">
        <v>91</v>
      </c>
    </row>
    <row r="513" spans="1:9">
      <c r="A513" s="27" t="s">
        <v>57</v>
      </c>
      <c r="B513"/>
    </row>
    <row r="514" spans="1:9" ht="15.6">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196</v>
      </c>
      <c r="B516" t="s">
        <v>170</v>
      </c>
      <c r="C516">
        <v>1</v>
      </c>
      <c r="D516" t="s">
        <v>91</v>
      </c>
      <c r="E516" s="31"/>
      <c r="G516" t="s">
        <v>28</v>
      </c>
      <c r="H516" t="s">
        <v>18</v>
      </c>
    </row>
    <row r="517" spans="1:9">
      <c r="A517" t="s">
        <v>175</v>
      </c>
      <c r="B517" t="s">
        <v>176</v>
      </c>
      <c r="C517">
        <v>1.5303868060521681E-4</v>
      </c>
      <c r="D517" t="s">
        <v>13</v>
      </c>
      <c r="E517" t="s">
        <v>131</v>
      </c>
      <c r="G517" t="s">
        <v>96</v>
      </c>
      <c r="H517" t="s">
        <v>12</v>
      </c>
    </row>
    <row r="518" spans="1:9">
      <c r="A518" t="s">
        <v>177</v>
      </c>
      <c r="B518" t="s">
        <v>95</v>
      </c>
      <c r="C518">
        <v>5.4000000000000001E-11</v>
      </c>
      <c r="D518" t="s">
        <v>6</v>
      </c>
      <c r="E518" t="s">
        <v>131</v>
      </c>
      <c r="G518" t="s">
        <v>96</v>
      </c>
      <c r="H518" t="s">
        <v>12</v>
      </c>
    </row>
    <row r="519" spans="1:9">
      <c r="A519" t="s">
        <v>27</v>
      </c>
      <c r="B519" t="s">
        <v>20</v>
      </c>
      <c r="C519">
        <v>0.6343270522695631</v>
      </c>
      <c r="D519" t="s">
        <v>19</v>
      </c>
      <c r="E519" t="s">
        <v>131</v>
      </c>
      <c r="G519" t="s">
        <v>28</v>
      </c>
      <c r="H519" t="s">
        <v>12</v>
      </c>
    </row>
    <row r="520" spans="1:9">
      <c r="A520" t="s">
        <v>105</v>
      </c>
      <c r="B520" t="s">
        <v>106</v>
      </c>
      <c r="C520">
        <v>1.1400000000000001E-4</v>
      </c>
      <c r="D520" t="s">
        <v>13</v>
      </c>
      <c r="E520" t="s">
        <v>131</v>
      </c>
      <c r="G520" t="s">
        <v>36</v>
      </c>
      <c r="H520" t="s">
        <v>12</v>
      </c>
    </row>
    <row r="521" spans="1:9">
      <c r="A521" t="s">
        <v>178</v>
      </c>
      <c r="B521" t="s">
        <v>179</v>
      </c>
      <c r="C521">
        <v>1.01E-4</v>
      </c>
      <c r="D521" t="s">
        <v>13</v>
      </c>
      <c r="E521" t="s">
        <v>131</v>
      </c>
      <c r="G521" t="s">
        <v>96</v>
      </c>
      <c r="H521" t="s">
        <v>12</v>
      </c>
    </row>
    <row r="522" spans="1:9">
      <c r="A522" t="s">
        <v>289</v>
      </c>
      <c r="B522" s="13" t="s">
        <v>121</v>
      </c>
      <c r="C522">
        <v>1.91298350756521</v>
      </c>
      <c r="D522" s="26" t="s">
        <v>91</v>
      </c>
      <c r="G522" s="31" t="s">
        <v>134</v>
      </c>
      <c r="H522" t="s">
        <v>12</v>
      </c>
    </row>
    <row r="523" spans="1:9" s="26" customFormat="1">
      <c r="A523" s="31" t="s">
        <v>245</v>
      </c>
      <c r="B523" s="31" t="s">
        <v>245</v>
      </c>
      <c r="C523" s="45">
        <v>1</v>
      </c>
      <c r="D523" s="26" t="s">
        <v>6</v>
      </c>
      <c r="E523"/>
      <c r="F523" s="24"/>
      <c r="G523" s="31" t="s">
        <v>28</v>
      </c>
      <c r="H523" t="s">
        <v>12</v>
      </c>
      <c r="I523" s="24"/>
    </row>
    <row r="524" spans="1:9">
      <c r="A524" t="s">
        <v>138</v>
      </c>
      <c r="B524"/>
      <c r="C524">
        <v>1.7890643766694927</v>
      </c>
      <c r="D524" t="s">
        <v>13</v>
      </c>
      <c r="E524" t="s">
        <v>83</v>
      </c>
      <c r="F524" t="s">
        <v>109</v>
      </c>
      <c r="H524" t="s">
        <v>15</v>
      </c>
    </row>
    <row r="525" spans="1:9">
      <c r="A525" t="s">
        <v>171</v>
      </c>
      <c r="B525"/>
      <c r="C525">
        <v>1.28</v>
      </c>
      <c r="D525" t="s">
        <v>35</v>
      </c>
      <c r="E525" t="s">
        <v>83</v>
      </c>
      <c r="F525" t="s">
        <v>109</v>
      </c>
      <c r="H525" t="s">
        <v>15</v>
      </c>
    </row>
    <row r="526" spans="1:9">
      <c r="A526" t="s">
        <v>172</v>
      </c>
      <c r="B526"/>
      <c r="C526">
        <v>0</v>
      </c>
      <c r="D526" t="s">
        <v>13</v>
      </c>
      <c r="E526" t="s">
        <v>83</v>
      </c>
      <c r="F526" t="s">
        <v>109</v>
      </c>
      <c r="H526" t="s">
        <v>15</v>
      </c>
    </row>
    <row r="527" spans="1:9">
      <c r="A527" t="s">
        <v>110</v>
      </c>
      <c r="B527"/>
      <c r="C527">
        <v>1.4187996E-2</v>
      </c>
      <c r="D527" t="s">
        <v>13</v>
      </c>
      <c r="E527" t="s">
        <v>83</v>
      </c>
      <c r="F527" t="s">
        <v>109</v>
      </c>
      <c r="H527" t="s">
        <v>15</v>
      </c>
    </row>
    <row r="528" spans="1:9">
      <c r="A528" t="s">
        <v>173</v>
      </c>
      <c r="B528"/>
      <c r="C528">
        <v>5.1560000000000002E-2</v>
      </c>
      <c r="D528" t="s">
        <v>13</v>
      </c>
      <c r="E528" t="s">
        <v>83</v>
      </c>
      <c r="F528" t="s">
        <v>25</v>
      </c>
      <c r="H528" t="s">
        <v>15</v>
      </c>
    </row>
    <row r="529" spans="1:8">
      <c r="A529" t="s">
        <v>89</v>
      </c>
      <c r="B529"/>
      <c r="C529">
        <v>6.5989999999999998E-6</v>
      </c>
      <c r="D529" t="s">
        <v>13</v>
      </c>
      <c r="E529" t="s">
        <v>83</v>
      </c>
      <c r="F529" t="s">
        <v>174</v>
      </c>
      <c r="H529" t="s">
        <v>15</v>
      </c>
    </row>
    <row r="530" spans="1:8">
      <c r="A530" s="31" t="s">
        <v>30</v>
      </c>
      <c r="B530" s="31" t="s">
        <v>31</v>
      </c>
      <c r="C530" s="35">
        <v>0.19129835075652102</v>
      </c>
      <c r="D530" s="31" t="s">
        <v>13</v>
      </c>
      <c r="E530" t="s">
        <v>131</v>
      </c>
      <c r="G530" s="31" t="s">
        <v>22</v>
      </c>
      <c r="H530" t="s">
        <v>12</v>
      </c>
    </row>
    <row r="531" spans="1:8">
      <c r="A531" s="31" t="s">
        <v>184</v>
      </c>
      <c r="B531" s="31" t="s">
        <v>185</v>
      </c>
      <c r="C531">
        <v>0</v>
      </c>
      <c r="D531" s="31" t="s">
        <v>13</v>
      </c>
      <c r="E531" t="s">
        <v>131</v>
      </c>
      <c r="G531" s="31" t="s">
        <v>96</v>
      </c>
      <c r="H531" t="s">
        <v>12</v>
      </c>
    </row>
    <row r="532" spans="1:8">
      <c r="A532" s="31" t="s">
        <v>186</v>
      </c>
      <c r="B532" s="31" t="s">
        <v>187</v>
      </c>
      <c r="C532">
        <v>0</v>
      </c>
      <c r="D532" s="31" t="s">
        <v>13</v>
      </c>
      <c r="E532" t="s">
        <v>131</v>
      </c>
      <c r="G532" s="31" t="s">
        <v>96</v>
      </c>
      <c r="H532" t="s">
        <v>12</v>
      </c>
    </row>
    <row r="533" spans="1:8">
      <c r="A533" t="s">
        <v>188</v>
      </c>
      <c r="B533" t="s">
        <v>189</v>
      </c>
      <c r="C533">
        <v>0</v>
      </c>
      <c r="D533" s="31" t="s">
        <v>13</v>
      </c>
      <c r="E533" t="s">
        <v>131</v>
      </c>
      <c r="G533" s="31" t="s">
        <v>96</v>
      </c>
      <c r="H533" t="s">
        <v>12</v>
      </c>
    </row>
    <row r="534" spans="1:8">
      <c r="A534" s="31" t="s">
        <v>190</v>
      </c>
      <c r="B534" s="32" t="s">
        <v>191</v>
      </c>
      <c r="C534">
        <v>0</v>
      </c>
      <c r="D534" s="31" t="s">
        <v>13</v>
      </c>
      <c r="E534" t="s">
        <v>131</v>
      </c>
      <c r="G534" s="31" t="s">
        <v>96</v>
      </c>
      <c r="H534" t="s">
        <v>12</v>
      </c>
    </row>
    <row r="535" spans="1:8">
      <c r="A535" s="31" t="s">
        <v>192</v>
      </c>
      <c r="B535" s="32" t="s">
        <v>193</v>
      </c>
      <c r="C535">
        <v>0</v>
      </c>
      <c r="D535" s="31" t="s">
        <v>13</v>
      </c>
      <c r="E535" t="s">
        <v>131</v>
      </c>
      <c r="G535" s="31" t="s">
        <v>96</v>
      </c>
      <c r="H535" t="s">
        <v>12</v>
      </c>
    </row>
    <row r="536" spans="1:8">
      <c r="A536" s="11" t="s">
        <v>194</v>
      </c>
      <c r="B536" s="32"/>
      <c r="C536">
        <v>0</v>
      </c>
      <c r="D536" s="31" t="s">
        <v>13</v>
      </c>
      <c r="E536" s="31" t="s">
        <v>83</v>
      </c>
      <c r="F536" t="s">
        <v>109</v>
      </c>
      <c r="H536" t="s">
        <v>15</v>
      </c>
    </row>
    <row r="537" spans="1:8">
      <c r="A537" s="11" t="s">
        <v>82</v>
      </c>
      <c r="B537" s="31"/>
      <c r="C537">
        <v>0</v>
      </c>
      <c r="D537" s="31" t="s">
        <v>13</v>
      </c>
      <c r="E537" s="31" t="s">
        <v>83</v>
      </c>
      <c r="F537" t="s">
        <v>109</v>
      </c>
      <c r="H537" t="s">
        <v>15</v>
      </c>
    </row>
    <row r="538" spans="1:8" s="49" customFormat="1">
      <c r="B538" s="50"/>
    </row>
    <row r="539" spans="1:8">
      <c r="A539" s="24" t="s">
        <v>1</v>
      </c>
      <c r="B539" s="24" t="s">
        <v>197</v>
      </c>
    </row>
    <row r="540" spans="1:8">
      <c r="A540" s="27" t="s">
        <v>11</v>
      </c>
      <c r="B540" t="s">
        <v>306</v>
      </c>
    </row>
    <row r="541" spans="1:8">
      <c r="A541" s="27" t="s">
        <v>2</v>
      </c>
      <c r="B541" t="s">
        <v>28</v>
      </c>
    </row>
    <row r="542" spans="1:8">
      <c r="A542" s="27" t="s">
        <v>3</v>
      </c>
      <c r="B542" s="28">
        <v>1</v>
      </c>
    </row>
    <row r="543" spans="1:8">
      <c r="A543" s="27" t="s">
        <v>4</v>
      </c>
      <c r="B543" t="s">
        <v>170</v>
      </c>
    </row>
    <row r="544" spans="1:8">
      <c r="A544" s="27" t="s">
        <v>6</v>
      </c>
      <c r="B544" t="s">
        <v>91</v>
      </c>
    </row>
    <row r="545" spans="1:9">
      <c r="A545" s="27" t="s">
        <v>57</v>
      </c>
      <c r="B545"/>
    </row>
    <row r="546" spans="1:9" ht="15.6">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197</v>
      </c>
      <c r="B548" t="s">
        <v>170</v>
      </c>
      <c r="C548">
        <v>1</v>
      </c>
      <c r="D548" t="s">
        <v>91</v>
      </c>
      <c r="E548" s="31"/>
      <c r="G548" t="s">
        <v>28</v>
      </c>
      <c r="H548" t="s">
        <v>18</v>
      </c>
    </row>
    <row r="549" spans="1:9">
      <c r="A549" t="s">
        <v>175</v>
      </c>
      <c r="B549" t="s">
        <v>176</v>
      </c>
      <c r="C549">
        <v>1.5294587364305477E-4</v>
      </c>
      <c r="D549" t="s">
        <v>13</v>
      </c>
      <c r="E549" t="s">
        <v>131</v>
      </c>
      <c r="G549" t="s">
        <v>96</v>
      </c>
      <c r="H549" t="s">
        <v>12</v>
      </c>
    </row>
    <row r="550" spans="1:9">
      <c r="A550" t="s">
        <v>177</v>
      </c>
      <c r="B550" t="s">
        <v>95</v>
      </c>
      <c r="C550">
        <v>5.4000000000000001E-11</v>
      </c>
      <c r="D550" t="s">
        <v>6</v>
      </c>
      <c r="E550" t="s">
        <v>131</v>
      </c>
      <c r="G550" t="s">
        <v>96</v>
      </c>
      <c r="H550" t="s">
        <v>12</v>
      </c>
    </row>
    <row r="551" spans="1:9">
      <c r="A551" t="s">
        <v>27</v>
      </c>
      <c r="B551" t="s">
        <v>20</v>
      </c>
      <c r="C551">
        <v>0.67679502616145548</v>
      </c>
      <c r="D551" t="s">
        <v>19</v>
      </c>
      <c r="E551" t="s">
        <v>131</v>
      </c>
      <c r="G551" t="s">
        <v>28</v>
      </c>
      <c r="H551" t="s">
        <v>12</v>
      </c>
    </row>
    <row r="552" spans="1:9">
      <c r="A552" t="s">
        <v>105</v>
      </c>
      <c r="B552" t="s">
        <v>106</v>
      </c>
      <c r="C552">
        <v>1.1400000000000001E-4</v>
      </c>
      <c r="D552" t="s">
        <v>13</v>
      </c>
      <c r="E552" t="s">
        <v>131</v>
      </c>
      <c r="G552" t="s">
        <v>36</v>
      </c>
      <c r="H552" t="s">
        <v>12</v>
      </c>
    </row>
    <row r="553" spans="1:9">
      <c r="A553" t="s">
        <v>178</v>
      </c>
      <c r="B553" t="s">
        <v>179</v>
      </c>
      <c r="C553">
        <v>1.01E-4</v>
      </c>
      <c r="D553" t="s">
        <v>13</v>
      </c>
      <c r="E553" t="s">
        <v>131</v>
      </c>
      <c r="G553" t="s">
        <v>96</v>
      </c>
      <c r="H553" t="s">
        <v>12</v>
      </c>
    </row>
    <row r="554" spans="1:9">
      <c r="A554" t="s">
        <v>289</v>
      </c>
      <c r="B554" s="13" t="s">
        <v>121</v>
      </c>
      <c r="C554">
        <v>1.9118234205381845</v>
      </c>
      <c r="D554" s="26" t="s">
        <v>91</v>
      </c>
      <c r="G554" s="31" t="s">
        <v>134</v>
      </c>
      <c r="H554" t="s">
        <v>12</v>
      </c>
    </row>
    <row r="555" spans="1:9" s="26" customFormat="1">
      <c r="A555" s="31" t="s">
        <v>245</v>
      </c>
      <c r="B555" s="31" t="s">
        <v>245</v>
      </c>
      <c r="C555" s="45">
        <v>1</v>
      </c>
      <c r="D555" s="26" t="s">
        <v>6</v>
      </c>
      <c r="E555"/>
      <c r="F555" s="24"/>
      <c r="G555" s="31" t="s">
        <v>28</v>
      </c>
      <c r="H555" t="s">
        <v>12</v>
      </c>
      <c r="I555" s="24"/>
    </row>
    <row r="556" spans="1:9">
      <c r="A556" t="s">
        <v>138</v>
      </c>
      <c r="B556"/>
      <c r="C556">
        <v>1.7695466599821643</v>
      </c>
      <c r="D556" t="s">
        <v>13</v>
      </c>
      <c r="E556" t="s">
        <v>83</v>
      </c>
      <c r="F556" t="s">
        <v>109</v>
      </c>
      <c r="H556" t="s">
        <v>15</v>
      </c>
    </row>
    <row r="557" spans="1:9">
      <c r="A557" t="s">
        <v>171</v>
      </c>
      <c r="B557"/>
      <c r="C557">
        <v>1.28</v>
      </c>
      <c r="D557" t="s">
        <v>35</v>
      </c>
      <c r="E557" t="s">
        <v>83</v>
      </c>
      <c r="F557" t="s">
        <v>109</v>
      </c>
      <c r="H557" t="s">
        <v>15</v>
      </c>
    </row>
    <row r="558" spans="1:9">
      <c r="A558" t="s">
        <v>172</v>
      </c>
      <c r="B558"/>
      <c r="C558">
        <v>0</v>
      </c>
      <c r="D558" t="s">
        <v>13</v>
      </c>
      <c r="E558" t="s">
        <v>83</v>
      </c>
      <c r="F558" t="s">
        <v>109</v>
      </c>
      <c r="H558" t="s">
        <v>15</v>
      </c>
    </row>
    <row r="559" spans="1:9">
      <c r="A559" t="s">
        <v>110</v>
      </c>
      <c r="B559"/>
      <c r="C559">
        <v>2.1269088000000002E-2</v>
      </c>
      <c r="D559" t="s">
        <v>13</v>
      </c>
      <c r="E559" t="s">
        <v>83</v>
      </c>
      <c r="F559" t="s">
        <v>109</v>
      </c>
      <c r="H559" t="s">
        <v>15</v>
      </c>
    </row>
    <row r="560" spans="1:9">
      <c r="A560" t="s">
        <v>173</v>
      </c>
      <c r="B560"/>
      <c r="C560">
        <v>5.1560000000000002E-2</v>
      </c>
      <c r="D560" t="s">
        <v>13</v>
      </c>
      <c r="E560" t="s">
        <v>83</v>
      </c>
      <c r="F560" t="s">
        <v>25</v>
      </c>
      <c r="H560" t="s">
        <v>15</v>
      </c>
    </row>
    <row r="561" spans="1:8">
      <c r="A561" t="s">
        <v>89</v>
      </c>
      <c r="B561"/>
      <c r="C561">
        <v>6.5989999999999998E-6</v>
      </c>
      <c r="D561" t="s">
        <v>13</v>
      </c>
      <c r="E561" t="s">
        <v>83</v>
      </c>
      <c r="F561" t="s">
        <v>174</v>
      </c>
      <c r="H561" t="s">
        <v>15</v>
      </c>
    </row>
    <row r="562" spans="1:8">
      <c r="A562" s="31" t="s">
        <v>30</v>
      </c>
      <c r="B562" s="31" t="s">
        <v>31</v>
      </c>
      <c r="C562" s="36">
        <v>0</v>
      </c>
      <c r="D562" s="31" t="s">
        <v>13</v>
      </c>
      <c r="E562" t="s">
        <v>131</v>
      </c>
      <c r="G562" s="31" t="s">
        <v>22</v>
      </c>
      <c r="H562" t="s">
        <v>12</v>
      </c>
    </row>
    <row r="563" spans="1:8">
      <c r="A563" s="31" t="s">
        <v>184</v>
      </c>
      <c r="B563" s="31" t="s">
        <v>185</v>
      </c>
      <c r="C563">
        <v>0</v>
      </c>
      <c r="D563" s="31" t="s">
        <v>13</v>
      </c>
      <c r="E563" t="s">
        <v>131</v>
      </c>
      <c r="G563" s="31" t="s">
        <v>96</v>
      </c>
      <c r="H563" t="s">
        <v>12</v>
      </c>
    </row>
    <row r="564" spans="1:8">
      <c r="A564" s="31" t="s">
        <v>186</v>
      </c>
      <c r="B564" s="31" t="s">
        <v>187</v>
      </c>
      <c r="C564">
        <v>2.0799999999999999E-4</v>
      </c>
      <c r="D564" s="31" t="s">
        <v>13</v>
      </c>
      <c r="E564" t="s">
        <v>131</v>
      </c>
      <c r="G564" s="31" t="s">
        <v>96</v>
      </c>
      <c r="H564" t="s">
        <v>12</v>
      </c>
    </row>
    <row r="565" spans="1:8">
      <c r="A565" t="s">
        <v>188</v>
      </c>
      <c r="B565" t="s">
        <v>189</v>
      </c>
      <c r="C565">
        <v>0</v>
      </c>
      <c r="D565" s="31" t="s">
        <v>13</v>
      </c>
      <c r="E565" t="s">
        <v>131</v>
      </c>
      <c r="G565" s="31" t="s">
        <v>96</v>
      </c>
      <c r="H565" t="s">
        <v>12</v>
      </c>
    </row>
    <row r="566" spans="1:8">
      <c r="A566" s="31" t="s">
        <v>190</v>
      </c>
      <c r="B566" s="32" t="s">
        <v>191</v>
      </c>
      <c r="C566">
        <v>3.98E-6</v>
      </c>
      <c r="D566" s="31" t="s">
        <v>13</v>
      </c>
      <c r="E566" t="s">
        <v>131</v>
      </c>
      <c r="G566" s="31" t="s">
        <v>96</v>
      </c>
      <c r="H566" t="s">
        <v>12</v>
      </c>
    </row>
    <row r="567" spans="1:8">
      <c r="A567" s="31" t="s">
        <v>192</v>
      </c>
      <c r="B567" s="32" t="s">
        <v>193</v>
      </c>
      <c r="C567">
        <v>0</v>
      </c>
      <c r="D567" s="31" t="s">
        <v>13</v>
      </c>
      <c r="E567" t="s">
        <v>131</v>
      </c>
      <c r="G567" s="31" t="s">
        <v>96</v>
      </c>
      <c r="H567" t="s">
        <v>12</v>
      </c>
    </row>
    <row r="568" spans="1:8">
      <c r="A568" s="11" t="s">
        <v>194</v>
      </c>
      <c r="B568" s="32"/>
      <c r="C568">
        <v>0</v>
      </c>
      <c r="D568" s="31" t="s">
        <v>13</v>
      </c>
      <c r="E568" s="31" t="s">
        <v>83</v>
      </c>
      <c r="F568" t="s">
        <v>109</v>
      </c>
      <c r="H568" t="s">
        <v>15</v>
      </c>
    </row>
    <row r="569" spans="1:8">
      <c r="A569" s="11" t="s">
        <v>82</v>
      </c>
      <c r="B569" s="31"/>
      <c r="C569">
        <v>0</v>
      </c>
      <c r="D569" s="31" t="s">
        <v>13</v>
      </c>
      <c r="E569" s="31" t="s">
        <v>83</v>
      </c>
      <c r="F569" t="s">
        <v>109</v>
      </c>
      <c r="H569" t="s">
        <v>15</v>
      </c>
    </row>
    <row r="570" spans="1:8" s="49" customFormat="1">
      <c r="B570" s="50"/>
    </row>
    <row r="571" spans="1:8">
      <c r="A571" s="24" t="s">
        <v>1</v>
      </c>
      <c r="B571" s="24" t="s">
        <v>198</v>
      </c>
    </row>
    <row r="572" spans="1:8">
      <c r="A572" s="27" t="s">
        <v>11</v>
      </c>
      <c r="B572" t="s">
        <v>307</v>
      </c>
    </row>
    <row r="573" spans="1:8">
      <c r="A573" s="27" t="s">
        <v>2</v>
      </c>
      <c r="B573" t="s">
        <v>28</v>
      </c>
    </row>
    <row r="574" spans="1:8">
      <c r="A574" s="27" t="s">
        <v>3</v>
      </c>
      <c r="B574" s="28">
        <v>1</v>
      </c>
    </row>
    <row r="575" spans="1:8">
      <c r="A575" s="27" t="s">
        <v>4</v>
      </c>
      <c r="B575" t="s">
        <v>170</v>
      </c>
    </row>
    <row r="576" spans="1:8">
      <c r="A576" s="27" t="s">
        <v>6</v>
      </c>
      <c r="B576" t="s">
        <v>91</v>
      </c>
    </row>
    <row r="577" spans="1:9">
      <c r="A577" s="27" t="s">
        <v>57</v>
      </c>
      <c r="B577"/>
    </row>
    <row r="578" spans="1:9" ht="15.6">
      <c r="A578" s="18" t="s">
        <v>7</v>
      </c>
      <c r="B578"/>
    </row>
    <row r="579" spans="1:9">
      <c r="A579" s="27" t="s">
        <v>8</v>
      </c>
      <c r="B579" s="27" t="s">
        <v>4</v>
      </c>
      <c r="C579" s="27" t="s">
        <v>9</v>
      </c>
      <c r="D579" s="27" t="s">
        <v>6</v>
      </c>
      <c r="E579" s="27" t="s">
        <v>81</v>
      </c>
      <c r="F579" s="27" t="s">
        <v>10</v>
      </c>
      <c r="G579" s="27" t="s">
        <v>2</v>
      </c>
      <c r="H579" s="27" t="s">
        <v>5</v>
      </c>
      <c r="I579" s="27" t="s">
        <v>11</v>
      </c>
    </row>
    <row r="580" spans="1:9">
      <c r="A580" t="s">
        <v>198</v>
      </c>
      <c r="B580" t="s">
        <v>170</v>
      </c>
      <c r="C580">
        <v>1</v>
      </c>
      <c r="D580" t="s">
        <v>91</v>
      </c>
      <c r="E580" s="31"/>
      <c r="G580" t="s">
        <v>28</v>
      </c>
      <c r="H580" t="s">
        <v>18</v>
      </c>
    </row>
    <row r="581" spans="1:9">
      <c r="A581" t="s">
        <v>175</v>
      </c>
      <c r="B581" t="s">
        <v>176</v>
      </c>
      <c r="C581">
        <v>1.5029864785434452E-4</v>
      </c>
      <c r="D581" t="s">
        <v>13</v>
      </c>
      <c r="E581" t="s">
        <v>131</v>
      </c>
      <c r="G581" t="s">
        <v>96</v>
      </c>
      <c r="H581" t="s">
        <v>12</v>
      </c>
    </row>
    <row r="582" spans="1:9">
      <c r="A582" t="s">
        <v>177</v>
      </c>
      <c r="B582" t="s">
        <v>95</v>
      </c>
      <c r="C582">
        <v>0</v>
      </c>
      <c r="D582" t="s">
        <v>6</v>
      </c>
      <c r="E582" t="s">
        <v>131</v>
      </c>
      <c r="G582" t="s">
        <v>96</v>
      </c>
      <c r="H582" t="s">
        <v>12</v>
      </c>
    </row>
    <row r="583" spans="1:9">
      <c r="A583" t="s">
        <v>27</v>
      </c>
      <c r="B583" t="s">
        <v>20</v>
      </c>
      <c r="C583">
        <v>0.6575565843627571</v>
      </c>
      <c r="D583" t="s">
        <v>19</v>
      </c>
      <c r="E583" t="s">
        <v>131</v>
      </c>
      <c r="G583" t="s">
        <v>28</v>
      </c>
      <c r="H583" t="s">
        <v>12</v>
      </c>
    </row>
    <row r="584" spans="1:9">
      <c r="A584" t="s">
        <v>105</v>
      </c>
      <c r="B584" t="s">
        <v>106</v>
      </c>
      <c r="C584">
        <v>0</v>
      </c>
      <c r="D584" t="s">
        <v>13</v>
      </c>
      <c r="E584" t="s">
        <v>131</v>
      </c>
      <c r="G584" t="s">
        <v>36</v>
      </c>
      <c r="H584" t="s">
        <v>12</v>
      </c>
    </row>
    <row r="585" spans="1:9">
      <c r="A585" t="s">
        <v>178</v>
      </c>
      <c r="B585" t="s">
        <v>179</v>
      </c>
      <c r="C585">
        <v>0</v>
      </c>
      <c r="D585" t="s">
        <v>13</v>
      </c>
      <c r="E585" t="s">
        <v>131</v>
      </c>
      <c r="G585" t="s">
        <v>96</v>
      </c>
      <c r="H585" t="s">
        <v>12</v>
      </c>
    </row>
    <row r="586" spans="1:9">
      <c r="A586" t="s">
        <v>289</v>
      </c>
      <c r="B586" s="13" t="s">
        <v>121</v>
      </c>
      <c r="C586">
        <v>1.8787330981793062</v>
      </c>
      <c r="D586" s="26" t="s">
        <v>91</v>
      </c>
      <c r="G586" s="31" t="s">
        <v>134</v>
      </c>
      <c r="H586" t="s">
        <v>12</v>
      </c>
    </row>
    <row r="587" spans="1:9" s="26" customFormat="1">
      <c r="A587" s="31" t="s">
        <v>245</v>
      </c>
      <c r="B587" s="31" t="s">
        <v>245</v>
      </c>
      <c r="C587" s="45">
        <v>1</v>
      </c>
      <c r="D587" s="26" t="s">
        <v>6</v>
      </c>
      <c r="E587"/>
      <c r="F587" s="24"/>
      <c r="G587" s="31" t="s">
        <v>28</v>
      </c>
      <c r="H587" t="s">
        <v>12</v>
      </c>
      <c r="I587" s="24"/>
    </row>
    <row r="588" spans="1:9">
      <c r="A588" t="s">
        <v>138</v>
      </c>
      <c r="B588"/>
      <c r="C588">
        <v>1.7592062868727893</v>
      </c>
      <c r="D588" t="s">
        <v>13</v>
      </c>
      <c r="E588" t="s">
        <v>83</v>
      </c>
      <c r="F588" t="s">
        <v>109</v>
      </c>
      <c r="H588" t="s">
        <v>15</v>
      </c>
    </row>
    <row r="589" spans="1:9">
      <c r="A589" t="s">
        <v>171</v>
      </c>
      <c r="B589"/>
      <c r="C589">
        <v>0</v>
      </c>
      <c r="D589" t="s">
        <v>35</v>
      </c>
      <c r="E589" t="s">
        <v>83</v>
      </c>
      <c r="F589" t="s">
        <v>109</v>
      </c>
      <c r="H589" t="s">
        <v>15</v>
      </c>
    </row>
    <row r="590" spans="1:9">
      <c r="A590" t="s">
        <v>172</v>
      </c>
      <c r="B590"/>
      <c r="C590">
        <v>0</v>
      </c>
      <c r="D590" t="s">
        <v>13</v>
      </c>
      <c r="E590" t="s">
        <v>83</v>
      </c>
      <c r="F590" t="s">
        <v>109</v>
      </c>
      <c r="H590" t="s">
        <v>15</v>
      </c>
    </row>
    <row r="591" spans="1:9">
      <c r="A591" t="s">
        <v>110</v>
      </c>
      <c r="B591"/>
      <c r="C591">
        <v>3.4834928759999994E-4</v>
      </c>
      <c r="D591" t="s">
        <v>13</v>
      </c>
      <c r="E591" t="s">
        <v>83</v>
      </c>
      <c r="F591" t="s">
        <v>109</v>
      </c>
      <c r="H591" t="s">
        <v>15</v>
      </c>
    </row>
    <row r="592" spans="1:9">
      <c r="A592" t="s">
        <v>173</v>
      </c>
      <c r="B592"/>
      <c r="C592">
        <v>0</v>
      </c>
      <c r="D592" t="s">
        <v>13</v>
      </c>
      <c r="E592" t="s">
        <v>83</v>
      </c>
      <c r="F592" t="s">
        <v>25</v>
      </c>
      <c r="H592" t="s">
        <v>15</v>
      </c>
    </row>
    <row r="593" spans="1:8">
      <c r="A593" t="s">
        <v>89</v>
      </c>
      <c r="B593"/>
      <c r="C593">
        <v>0</v>
      </c>
      <c r="D593" t="s">
        <v>13</v>
      </c>
      <c r="E593" t="s">
        <v>83</v>
      </c>
      <c r="F593" t="s">
        <v>174</v>
      </c>
      <c r="H593" t="s">
        <v>15</v>
      </c>
    </row>
    <row r="594" spans="1:8">
      <c r="A594" s="31" t="s">
        <v>30</v>
      </c>
      <c r="B594" s="31" t="s">
        <v>31</v>
      </c>
      <c r="C594" s="36">
        <v>0</v>
      </c>
      <c r="D594" s="31" t="s">
        <v>13</v>
      </c>
      <c r="E594" t="s">
        <v>131</v>
      </c>
      <c r="G594" s="31" t="s">
        <v>22</v>
      </c>
      <c r="H594" t="s">
        <v>12</v>
      </c>
    </row>
    <row r="595" spans="1:8">
      <c r="A595" s="31" t="s">
        <v>184</v>
      </c>
      <c r="B595" s="31" t="s">
        <v>185</v>
      </c>
      <c r="C595">
        <v>0</v>
      </c>
      <c r="D595" s="31" t="s">
        <v>13</v>
      </c>
      <c r="E595" t="s">
        <v>131</v>
      </c>
      <c r="G595" s="31" t="s">
        <v>96</v>
      </c>
      <c r="H595" t="s">
        <v>12</v>
      </c>
    </row>
    <row r="596" spans="1:8">
      <c r="A596" s="31" t="s">
        <v>186</v>
      </c>
      <c r="B596" s="31" t="s">
        <v>187</v>
      </c>
      <c r="C596">
        <v>0</v>
      </c>
      <c r="D596" s="31" t="s">
        <v>13</v>
      </c>
      <c r="E596" t="s">
        <v>131</v>
      </c>
      <c r="G596" s="31" t="s">
        <v>96</v>
      </c>
      <c r="H596" t="s">
        <v>12</v>
      </c>
    </row>
    <row r="597" spans="1:8">
      <c r="A597" t="s">
        <v>188</v>
      </c>
      <c r="B597" t="s">
        <v>189</v>
      </c>
      <c r="C597">
        <v>0</v>
      </c>
      <c r="D597" s="31" t="s">
        <v>13</v>
      </c>
      <c r="E597" t="s">
        <v>131</v>
      </c>
      <c r="G597" s="31" t="s">
        <v>96</v>
      </c>
      <c r="H597" t="s">
        <v>12</v>
      </c>
    </row>
    <row r="598" spans="1:8">
      <c r="A598" s="31" t="s">
        <v>190</v>
      </c>
      <c r="B598" s="32" t="s">
        <v>191</v>
      </c>
      <c r="C598">
        <v>0</v>
      </c>
      <c r="D598" s="31" t="s">
        <v>13</v>
      </c>
      <c r="E598" t="s">
        <v>131</v>
      </c>
      <c r="G598" s="31" t="s">
        <v>96</v>
      </c>
      <c r="H598" t="s">
        <v>12</v>
      </c>
    </row>
    <row r="599" spans="1:8">
      <c r="A599" s="31" t="s">
        <v>192</v>
      </c>
      <c r="B599" s="32" t="s">
        <v>193</v>
      </c>
      <c r="C599">
        <v>0</v>
      </c>
      <c r="D599" s="31" t="s">
        <v>13</v>
      </c>
      <c r="E599" t="s">
        <v>131</v>
      </c>
      <c r="G599" s="31" t="s">
        <v>96</v>
      </c>
      <c r="H599" t="s">
        <v>12</v>
      </c>
    </row>
    <row r="600" spans="1:8">
      <c r="A600" s="11" t="s">
        <v>194</v>
      </c>
      <c r="B600" s="32"/>
      <c r="C600">
        <v>0</v>
      </c>
      <c r="D600" s="31" t="s">
        <v>13</v>
      </c>
      <c r="E600" s="31" t="s">
        <v>83</v>
      </c>
      <c r="F600" t="s">
        <v>109</v>
      </c>
      <c r="H600" t="s">
        <v>15</v>
      </c>
    </row>
    <row r="601" spans="1:8">
      <c r="A601" s="11" t="s">
        <v>82</v>
      </c>
      <c r="B601" s="31"/>
      <c r="C601">
        <v>0</v>
      </c>
      <c r="D601" s="31" t="s">
        <v>13</v>
      </c>
      <c r="E601" s="31" t="s">
        <v>83</v>
      </c>
      <c r="F601" t="s">
        <v>109</v>
      </c>
      <c r="H601" t="s">
        <v>15</v>
      </c>
    </row>
    <row r="602" spans="1:8" s="49" customFormat="1">
      <c r="B602" s="50"/>
    </row>
    <row r="603" spans="1:8">
      <c r="A603" s="24" t="s">
        <v>1</v>
      </c>
      <c r="B603" s="24" t="s">
        <v>234</v>
      </c>
    </row>
    <row r="604" spans="1:8">
      <c r="A604" s="27" t="s">
        <v>11</v>
      </c>
      <c r="B604" t="s">
        <v>308</v>
      </c>
    </row>
    <row r="605" spans="1:8">
      <c r="A605" s="27" t="s">
        <v>2</v>
      </c>
      <c r="B605" t="s">
        <v>28</v>
      </c>
    </row>
    <row r="606" spans="1:8">
      <c r="A606" s="27" t="s">
        <v>3</v>
      </c>
      <c r="B606" s="28">
        <v>1</v>
      </c>
    </row>
    <row r="607" spans="1:8">
      <c r="A607" s="27" t="s">
        <v>4</v>
      </c>
      <c r="B607" t="s">
        <v>170</v>
      </c>
    </row>
    <row r="608" spans="1:8">
      <c r="A608" s="27" t="s">
        <v>6</v>
      </c>
      <c r="B608" t="s">
        <v>91</v>
      </c>
    </row>
    <row r="609" spans="1:9">
      <c r="A609" s="27" t="s">
        <v>57</v>
      </c>
      <c r="B609"/>
    </row>
    <row r="610" spans="1:9" ht="15.6">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234</v>
      </c>
      <c r="B612" t="s">
        <v>170</v>
      </c>
      <c r="C612">
        <v>1</v>
      </c>
      <c r="D612" t="s">
        <v>91</v>
      </c>
      <c r="E612" s="31"/>
      <c r="G612" t="s">
        <v>28</v>
      </c>
      <c r="H612" t="s">
        <v>18</v>
      </c>
    </row>
    <row r="613" spans="1:9">
      <c r="A613" t="s">
        <v>175</v>
      </c>
      <c r="B613" t="s">
        <v>176</v>
      </c>
      <c r="C613">
        <v>1.5153830138359706E-4</v>
      </c>
      <c r="D613" t="s">
        <v>13</v>
      </c>
      <c r="E613" t="s">
        <v>131</v>
      </c>
      <c r="G613" t="s">
        <v>96</v>
      </c>
      <c r="H613" t="s">
        <v>12</v>
      </c>
    </row>
    <row r="614" spans="1:9">
      <c r="A614" t="s">
        <v>177</v>
      </c>
      <c r="B614" t="s">
        <v>95</v>
      </c>
      <c r="C614">
        <v>5.4000000000000001E-11</v>
      </c>
      <c r="D614" t="s">
        <v>6</v>
      </c>
      <c r="E614" t="s">
        <v>131</v>
      </c>
      <c r="G614" t="s">
        <v>96</v>
      </c>
      <c r="H614" t="s">
        <v>12</v>
      </c>
    </row>
    <row r="615" spans="1:9">
      <c r="A615" t="s">
        <v>27</v>
      </c>
      <c r="B615" t="s">
        <v>20</v>
      </c>
      <c r="C615">
        <v>0.9818888836474815</v>
      </c>
      <c r="D615" t="s">
        <v>19</v>
      </c>
      <c r="E615" t="s">
        <v>131</v>
      </c>
      <c r="G615" t="s">
        <v>28</v>
      </c>
      <c r="H615" t="s">
        <v>12</v>
      </c>
    </row>
    <row r="616" spans="1:9">
      <c r="A616" t="s">
        <v>105</v>
      </c>
      <c r="B616" t="s">
        <v>106</v>
      </c>
      <c r="C616">
        <v>1.1400000000000001E-4</v>
      </c>
      <c r="D616" t="s">
        <v>13</v>
      </c>
      <c r="E616" t="s">
        <v>131</v>
      </c>
      <c r="G616" t="s">
        <v>36</v>
      </c>
      <c r="H616" t="s">
        <v>12</v>
      </c>
    </row>
    <row r="617" spans="1:9">
      <c r="A617" t="s">
        <v>178</v>
      </c>
      <c r="B617" t="s">
        <v>179</v>
      </c>
      <c r="C617">
        <v>1.01E-4</v>
      </c>
      <c r="D617" t="s">
        <v>13</v>
      </c>
      <c r="E617" t="s">
        <v>131</v>
      </c>
      <c r="G617" t="s">
        <v>96</v>
      </c>
      <c r="H617" t="s">
        <v>12</v>
      </c>
    </row>
    <row r="618" spans="1:9">
      <c r="A618" t="s">
        <v>289</v>
      </c>
      <c r="B618" s="13" t="s">
        <v>121</v>
      </c>
      <c r="C618">
        <v>1.8942287672949629</v>
      </c>
      <c r="D618" s="26" t="s">
        <v>91</v>
      </c>
      <c r="G618" s="31" t="s">
        <v>134</v>
      </c>
      <c r="H618" t="s">
        <v>12</v>
      </c>
    </row>
    <row r="619" spans="1:9" s="26" customFormat="1">
      <c r="A619" s="31" t="s">
        <v>245</v>
      </c>
      <c r="B619" s="31" t="s">
        <v>245</v>
      </c>
      <c r="C619" s="45">
        <v>1</v>
      </c>
      <c r="D619" s="26" t="s">
        <v>6</v>
      </c>
      <c r="E619"/>
      <c r="F619" s="24"/>
      <c r="G619" s="31" t="s">
        <v>28</v>
      </c>
      <c r="H619" t="s">
        <v>12</v>
      </c>
      <c r="I619" s="24"/>
    </row>
    <row r="620" spans="1:9">
      <c r="A620" t="s">
        <v>138</v>
      </c>
      <c r="B620"/>
      <c r="C620">
        <v>1.826313948288041E-2</v>
      </c>
      <c r="D620" t="s">
        <v>13</v>
      </c>
      <c r="E620" t="s">
        <v>83</v>
      </c>
      <c r="F620" t="s">
        <v>109</v>
      </c>
      <c r="H620" t="s">
        <v>15</v>
      </c>
    </row>
    <row r="621" spans="1:9">
      <c r="A621" t="s">
        <v>171</v>
      </c>
      <c r="B621"/>
      <c r="C621">
        <v>1.28</v>
      </c>
      <c r="D621" t="s">
        <v>35</v>
      </c>
      <c r="E621" t="s">
        <v>83</v>
      </c>
      <c r="F621" t="s">
        <v>109</v>
      </c>
      <c r="H621" t="s">
        <v>15</v>
      </c>
    </row>
    <row r="622" spans="1:9">
      <c r="A622" t="s">
        <v>172</v>
      </c>
      <c r="B622"/>
      <c r="C622">
        <v>0</v>
      </c>
      <c r="D622" t="s">
        <v>13</v>
      </c>
      <c r="E622" t="s">
        <v>83</v>
      </c>
      <c r="F622" t="s">
        <v>109</v>
      </c>
      <c r="H622" t="s">
        <v>15</v>
      </c>
    </row>
    <row r="623" spans="1:9">
      <c r="A623" t="s">
        <v>110</v>
      </c>
      <c r="B623"/>
      <c r="C623">
        <v>7.0244489999999995E-3</v>
      </c>
      <c r="D623" t="s">
        <v>13</v>
      </c>
      <c r="E623" t="s">
        <v>83</v>
      </c>
      <c r="F623" t="s">
        <v>109</v>
      </c>
      <c r="H623" t="s">
        <v>15</v>
      </c>
    </row>
    <row r="624" spans="1:9">
      <c r="A624" t="s">
        <v>173</v>
      </c>
      <c r="B624"/>
      <c r="C624">
        <v>5.1560000000000002E-2</v>
      </c>
      <c r="D624" t="s">
        <v>13</v>
      </c>
      <c r="E624" t="s">
        <v>83</v>
      </c>
      <c r="F624" t="s">
        <v>25</v>
      </c>
      <c r="H624" t="s">
        <v>15</v>
      </c>
    </row>
    <row r="625" spans="1:9">
      <c r="A625" t="s">
        <v>89</v>
      </c>
      <c r="B625"/>
      <c r="C625">
        <v>6.5989999999999998E-6</v>
      </c>
      <c r="D625" t="s">
        <v>13</v>
      </c>
      <c r="E625" t="s">
        <v>83</v>
      </c>
      <c r="F625" t="s">
        <v>174</v>
      </c>
      <c r="H625" t="s">
        <v>15</v>
      </c>
    </row>
    <row r="626" spans="1:9" s="49" customFormat="1">
      <c r="B626" s="50"/>
    </row>
    <row r="627" spans="1:9">
      <c r="A627" s="24" t="s">
        <v>1</v>
      </c>
      <c r="B627" s="24" t="s">
        <v>235</v>
      </c>
    </row>
    <row r="628" spans="1:9">
      <c r="A628" s="27" t="s">
        <v>11</v>
      </c>
      <c r="B628" t="s">
        <v>309</v>
      </c>
    </row>
    <row r="629" spans="1:9">
      <c r="A629" s="27" t="s">
        <v>2</v>
      </c>
      <c r="B629" t="s">
        <v>28</v>
      </c>
    </row>
    <row r="630" spans="1:9">
      <c r="A630" s="27" t="s">
        <v>3</v>
      </c>
      <c r="B630" s="28">
        <v>1</v>
      </c>
    </row>
    <row r="631" spans="1:9">
      <c r="A631" s="27" t="s">
        <v>4</v>
      </c>
      <c r="B631" t="s">
        <v>170</v>
      </c>
    </row>
    <row r="632" spans="1:9">
      <c r="A632" s="27" t="s">
        <v>6</v>
      </c>
      <c r="B632" t="s">
        <v>91</v>
      </c>
    </row>
    <row r="633" spans="1:9">
      <c r="A633" s="27" t="s">
        <v>57</v>
      </c>
      <c r="B633"/>
    </row>
    <row r="634" spans="1:9" ht="15.6">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235</v>
      </c>
      <c r="B636" t="s">
        <v>170</v>
      </c>
      <c r="C636">
        <v>1</v>
      </c>
      <c r="D636" t="s">
        <v>91</v>
      </c>
      <c r="E636" s="31"/>
      <c r="G636" t="s">
        <v>28</v>
      </c>
      <c r="H636" t="s">
        <v>18</v>
      </c>
    </row>
    <row r="637" spans="1:9">
      <c r="A637" t="s">
        <v>175</v>
      </c>
      <c r="B637" t="s">
        <v>176</v>
      </c>
      <c r="C637">
        <v>1.5328461905494623E-4</v>
      </c>
      <c r="D637" t="s">
        <v>13</v>
      </c>
      <c r="E637" t="s">
        <v>131</v>
      </c>
      <c r="G637" t="s">
        <v>96</v>
      </c>
      <c r="H637" t="s">
        <v>12</v>
      </c>
    </row>
    <row r="638" spans="1:9">
      <c r="A638" t="s">
        <v>177</v>
      </c>
      <c r="B638" t="s">
        <v>95</v>
      </c>
      <c r="C638">
        <v>5.4000000000000001E-11</v>
      </c>
      <c r="D638" t="s">
        <v>6</v>
      </c>
      <c r="E638" t="s">
        <v>131</v>
      </c>
      <c r="G638" t="s">
        <v>96</v>
      </c>
      <c r="H638" t="s">
        <v>12</v>
      </c>
    </row>
    <row r="639" spans="1:9">
      <c r="A639" t="s">
        <v>27</v>
      </c>
      <c r="B639" t="s">
        <v>20</v>
      </c>
      <c r="C639">
        <v>0.76289810836538974</v>
      </c>
      <c r="D639" t="s">
        <v>19</v>
      </c>
      <c r="E639" t="s">
        <v>131</v>
      </c>
      <c r="G639" t="s">
        <v>28</v>
      </c>
      <c r="H639" t="s">
        <v>12</v>
      </c>
    </row>
    <row r="640" spans="1:9">
      <c r="A640" t="s">
        <v>105</v>
      </c>
      <c r="B640" t="s">
        <v>106</v>
      </c>
      <c r="C640">
        <v>1.1400000000000001E-4</v>
      </c>
      <c r="D640" t="s">
        <v>13</v>
      </c>
      <c r="E640" t="s">
        <v>131</v>
      </c>
      <c r="G640" t="s">
        <v>36</v>
      </c>
      <c r="H640" t="s">
        <v>12</v>
      </c>
    </row>
    <row r="641" spans="1:9">
      <c r="A641" t="s">
        <v>178</v>
      </c>
      <c r="B641" t="s">
        <v>179</v>
      </c>
      <c r="C641">
        <v>1.01E-4</v>
      </c>
      <c r="D641" t="s">
        <v>13</v>
      </c>
      <c r="E641" t="s">
        <v>131</v>
      </c>
      <c r="G641" t="s">
        <v>96</v>
      </c>
      <c r="H641" t="s">
        <v>12</v>
      </c>
    </row>
    <row r="642" spans="1:9">
      <c r="A642" t="s">
        <v>289</v>
      </c>
      <c r="B642" s="13" t="s">
        <v>121</v>
      </c>
      <c r="C642">
        <v>1.9160577381868278</v>
      </c>
      <c r="D642" s="26" t="s">
        <v>91</v>
      </c>
      <c r="G642" s="31" t="s">
        <v>134</v>
      </c>
      <c r="H642" t="s">
        <v>12</v>
      </c>
    </row>
    <row r="643" spans="1:9" s="26" customFormat="1">
      <c r="A643" s="31" t="s">
        <v>245</v>
      </c>
      <c r="B643" s="31" t="s">
        <v>245</v>
      </c>
      <c r="C643" s="45">
        <v>1</v>
      </c>
      <c r="D643" s="26" t="s">
        <v>6</v>
      </c>
      <c r="E643"/>
      <c r="F643" s="24"/>
      <c r="G643" s="31" t="s">
        <v>28</v>
      </c>
      <c r="H643" t="s">
        <v>12</v>
      </c>
      <c r="I643" s="24"/>
    </row>
    <row r="644" spans="1:9">
      <c r="A644" t="s">
        <v>138</v>
      </c>
      <c r="B644"/>
      <c r="C644">
        <v>1.8473602731590951E-3</v>
      </c>
      <c r="D644" t="s">
        <v>13</v>
      </c>
      <c r="E644" t="s">
        <v>83</v>
      </c>
      <c r="F644" t="s">
        <v>109</v>
      </c>
      <c r="H644" t="s">
        <v>15</v>
      </c>
    </row>
    <row r="645" spans="1:9">
      <c r="A645" t="s">
        <v>171</v>
      </c>
      <c r="B645"/>
      <c r="C645">
        <v>1.28</v>
      </c>
      <c r="D645" t="s">
        <v>35</v>
      </c>
      <c r="E645" t="s">
        <v>83</v>
      </c>
      <c r="F645" t="s">
        <v>109</v>
      </c>
      <c r="H645" t="s">
        <v>15</v>
      </c>
    </row>
    <row r="646" spans="1:9">
      <c r="A646" t="s">
        <v>172</v>
      </c>
      <c r="B646"/>
      <c r="C646">
        <v>0</v>
      </c>
      <c r="D646" t="s">
        <v>13</v>
      </c>
      <c r="E646" t="s">
        <v>83</v>
      </c>
      <c r="F646" t="s">
        <v>109</v>
      </c>
      <c r="H646" t="s">
        <v>15</v>
      </c>
    </row>
    <row r="647" spans="1:9">
      <c r="A647" t="s">
        <v>110</v>
      </c>
      <c r="B647"/>
      <c r="C647">
        <v>7.1053982999999999E-4</v>
      </c>
      <c r="D647" t="s">
        <v>13</v>
      </c>
      <c r="E647" t="s">
        <v>83</v>
      </c>
      <c r="F647" t="s">
        <v>109</v>
      </c>
      <c r="H647" t="s">
        <v>15</v>
      </c>
    </row>
    <row r="648" spans="1:9">
      <c r="A648" t="s">
        <v>173</v>
      </c>
      <c r="B648"/>
      <c r="C648">
        <v>5.1560000000000002E-2</v>
      </c>
      <c r="D648" t="s">
        <v>13</v>
      </c>
      <c r="E648" t="s">
        <v>83</v>
      </c>
      <c r="F648" t="s">
        <v>25</v>
      </c>
      <c r="H648" t="s">
        <v>15</v>
      </c>
    </row>
    <row r="649" spans="1:9">
      <c r="A649" t="s">
        <v>89</v>
      </c>
      <c r="B649"/>
      <c r="C649">
        <v>6.5989999999999998E-6</v>
      </c>
      <c r="D649" t="s">
        <v>13</v>
      </c>
      <c r="E649" t="s">
        <v>83</v>
      </c>
      <c r="F649" t="s">
        <v>174</v>
      </c>
      <c r="H649" t="s">
        <v>15</v>
      </c>
    </row>
    <row r="650" spans="1:9">
      <c r="A650" s="31" t="s">
        <v>30</v>
      </c>
      <c r="B650" s="31" t="s">
        <v>31</v>
      </c>
      <c r="C650" s="35">
        <v>0</v>
      </c>
      <c r="D650" s="31" t="s">
        <v>13</v>
      </c>
      <c r="E650" t="s">
        <v>131</v>
      </c>
      <c r="G650" s="31" t="s">
        <v>22</v>
      </c>
      <c r="H650" t="s">
        <v>12</v>
      </c>
    </row>
    <row r="651" spans="1:9">
      <c r="A651" s="31" t="s">
        <v>184</v>
      </c>
      <c r="B651" s="31" t="s">
        <v>185</v>
      </c>
      <c r="C651">
        <v>1.2300000000000001E-4</v>
      </c>
      <c r="D651" s="31" t="s">
        <v>13</v>
      </c>
      <c r="E651" t="s">
        <v>131</v>
      </c>
      <c r="G651" s="31" t="s">
        <v>96</v>
      </c>
      <c r="H651" t="s">
        <v>12</v>
      </c>
    </row>
    <row r="652" spans="1:9">
      <c r="A652" s="31" t="s">
        <v>186</v>
      </c>
      <c r="B652" s="31" t="s">
        <v>187</v>
      </c>
      <c r="C652">
        <v>6.9700000000000003E-4</v>
      </c>
      <c r="D652" s="31" t="s">
        <v>13</v>
      </c>
      <c r="E652" t="s">
        <v>131</v>
      </c>
      <c r="G652" s="31" t="s">
        <v>96</v>
      </c>
      <c r="H652" t="s">
        <v>12</v>
      </c>
    </row>
    <row r="653" spans="1:9">
      <c r="A653" t="s">
        <v>188</v>
      </c>
      <c r="B653" t="s">
        <v>189</v>
      </c>
      <c r="C653">
        <v>2.6400000000000001E-5</v>
      </c>
      <c r="D653" s="31" t="s">
        <v>13</v>
      </c>
      <c r="E653" t="s">
        <v>131</v>
      </c>
      <c r="G653" s="31" t="s">
        <v>96</v>
      </c>
      <c r="H653" t="s">
        <v>12</v>
      </c>
    </row>
    <row r="654" spans="1:9">
      <c r="A654" s="31" t="s">
        <v>190</v>
      </c>
      <c r="B654" s="32" t="s">
        <v>191</v>
      </c>
      <c r="C654">
        <v>0</v>
      </c>
      <c r="D654" s="31" t="s">
        <v>13</v>
      </c>
      <c r="E654" t="s">
        <v>131</v>
      </c>
      <c r="G654" s="31" t="s">
        <v>96</v>
      </c>
      <c r="H654" t="s">
        <v>12</v>
      </c>
    </row>
    <row r="655" spans="1:9">
      <c r="A655" s="31" t="s">
        <v>192</v>
      </c>
      <c r="B655" s="32" t="s">
        <v>193</v>
      </c>
      <c r="C655">
        <v>9.2899999999999995E-5</v>
      </c>
      <c r="D655" s="31" t="s">
        <v>13</v>
      </c>
      <c r="E655" t="s">
        <v>131</v>
      </c>
      <c r="G655" s="31" t="s">
        <v>96</v>
      </c>
      <c r="H655" t="s">
        <v>12</v>
      </c>
    </row>
    <row r="656" spans="1:9">
      <c r="A656" s="11" t="s">
        <v>194</v>
      </c>
      <c r="B656" s="32"/>
      <c r="C656">
        <v>1.3412404167307795E-2</v>
      </c>
      <c r="D656" s="31" t="s">
        <v>13</v>
      </c>
      <c r="E656" s="31" t="s">
        <v>83</v>
      </c>
      <c r="F656" t="s">
        <v>109</v>
      </c>
      <c r="H656" t="s">
        <v>15</v>
      </c>
    </row>
    <row r="657" spans="1:9">
      <c r="A657" s="11" t="s">
        <v>82</v>
      </c>
      <c r="B657" s="31"/>
      <c r="C657">
        <v>0.35255462382637631</v>
      </c>
      <c r="D657" s="31" t="s">
        <v>13</v>
      </c>
      <c r="E657" s="31" t="s">
        <v>83</v>
      </c>
      <c r="F657" t="s">
        <v>109</v>
      </c>
      <c r="H657" t="s">
        <v>15</v>
      </c>
    </row>
    <row r="658" spans="1:9" s="49" customFormat="1">
      <c r="B658" s="50"/>
    </row>
    <row r="659" spans="1:9">
      <c r="A659" s="24" t="s">
        <v>1</v>
      </c>
      <c r="B659" s="24" t="s">
        <v>236</v>
      </c>
    </row>
    <row r="660" spans="1:9">
      <c r="A660" s="27" t="s">
        <v>11</v>
      </c>
      <c r="B660" t="s">
        <v>310</v>
      </c>
    </row>
    <row r="661" spans="1:9">
      <c r="A661" s="27" t="s">
        <v>2</v>
      </c>
      <c r="B661" t="s">
        <v>28</v>
      </c>
    </row>
    <row r="662" spans="1:9">
      <c r="A662" s="27" t="s">
        <v>3</v>
      </c>
      <c r="B662" s="28">
        <v>1</v>
      </c>
    </row>
    <row r="663" spans="1:9">
      <c r="A663" s="27" t="s">
        <v>4</v>
      </c>
      <c r="B663" t="s">
        <v>170</v>
      </c>
    </row>
    <row r="664" spans="1:9">
      <c r="A664" s="27" t="s">
        <v>6</v>
      </c>
      <c r="B664" t="s">
        <v>91</v>
      </c>
    </row>
    <row r="665" spans="1:9">
      <c r="A665" s="27" t="s">
        <v>57</v>
      </c>
      <c r="B665"/>
    </row>
    <row r="666" spans="1:9" ht="15.6">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236</v>
      </c>
      <c r="B668" t="s">
        <v>170</v>
      </c>
      <c r="C668">
        <v>1</v>
      </c>
      <c r="D668" t="s">
        <v>91</v>
      </c>
      <c r="E668" s="31"/>
      <c r="G668" t="s">
        <v>28</v>
      </c>
      <c r="H668" t="s">
        <v>18</v>
      </c>
    </row>
    <row r="669" spans="1:9">
      <c r="A669" t="s">
        <v>175</v>
      </c>
      <c r="B669" t="s">
        <v>176</v>
      </c>
      <c r="C669">
        <v>1.5303868060521681E-4</v>
      </c>
      <c r="D669" t="s">
        <v>13</v>
      </c>
      <c r="E669" t="s">
        <v>131</v>
      </c>
      <c r="G669" t="s">
        <v>96</v>
      </c>
      <c r="H669" t="s">
        <v>12</v>
      </c>
    </row>
    <row r="670" spans="1:9">
      <c r="A670" t="s">
        <v>177</v>
      </c>
      <c r="B670" t="s">
        <v>95</v>
      </c>
      <c r="C670">
        <v>5.4000000000000001E-11</v>
      </c>
      <c r="D670" t="s">
        <v>6</v>
      </c>
      <c r="E670" t="s">
        <v>131</v>
      </c>
      <c r="G670" t="s">
        <v>96</v>
      </c>
      <c r="H670" t="s">
        <v>12</v>
      </c>
    </row>
    <row r="671" spans="1:9">
      <c r="A671" t="s">
        <v>27</v>
      </c>
      <c r="B671" t="s">
        <v>20</v>
      </c>
      <c r="C671">
        <v>0.6343270522695631</v>
      </c>
      <c r="D671" t="s">
        <v>19</v>
      </c>
      <c r="E671" t="s">
        <v>131</v>
      </c>
      <c r="G671" t="s">
        <v>28</v>
      </c>
      <c r="H671" t="s">
        <v>12</v>
      </c>
    </row>
    <row r="672" spans="1:9">
      <c r="A672" t="s">
        <v>105</v>
      </c>
      <c r="B672" t="s">
        <v>106</v>
      </c>
      <c r="C672">
        <v>1.1400000000000001E-4</v>
      </c>
      <c r="D672" t="s">
        <v>13</v>
      </c>
      <c r="E672" t="s">
        <v>131</v>
      </c>
      <c r="G672" t="s">
        <v>36</v>
      </c>
      <c r="H672" t="s">
        <v>12</v>
      </c>
    </row>
    <row r="673" spans="1:9">
      <c r="A673" t="s">
        <v>178</v>
      </c>
      <c r="B673" t="s">
        <v>179</v>
      </c>
      <c r="C673">
        <v>1.01E-4</v>
      </c>
      <c r="D673" t="s">
        <v>13</v>
      </c>
      <c r="E673" t="s">
        <v>131</v>
      </c>
      <c r="G673" t="s">
        <v>96</v>
      </c>
      <c r="H673" t="s">
        <v>12</v>
      </c>
    </row>
    <row r="674" spans="1:9">
      <c r="A674" t="s">
        <v>289</v>
      </c>
      <c r="B674" s="13" t="s">
        <v>121</v>
      </c>
      <c r="C674">
        <v>1.91298350756521</v>
      </c>
      <c r="D674" s="26" t="s">
        <v>91</v>
      </c>
      <c r="G674" s="31" t="s">
        <v>134</v>
      </c>
      <c r="H674" t="s">
        <v>12</v>
      </c>
    </row>
    <row r="675" spans="1:9" s="26" customFormat="1">
      <c r="A675" s="31" t="s">
        <v>245</v>
      </c>
      <c r="B675" s="31" t="s">
        <v>245</v>
      </c>
      <c r="C675" s="45">
        <v>1</v>
      </c>
      <c r="D675" s="26" t="s">
        <v>6</v>
      </c>
      <c r="E675"/>
      <c r="F675" s="24"/>
      <c r="G675" s="31" t="s">
        <v>28</v>
      </c>
      <c r="H675" t="s">
        <v>12</v>
      </c>
      <c r="I675" s="24"/>
    </row>
    <row r="676" spans="1:9">
      <c r="A676" t="s">
        <v>138</v>
      </c>
      <c r="B676"/>
      <c r="C676">
        <v>3.688792529215449E-2</v>
      </c>
      <c r="D676" t="s">
        <v>13</v>
      </c>
      <c r="E676" t="s">
        <v>83</v>
      </c>
      <c r="F676" t="s">
        <v>109</v>
      </c>
      <c r="H676" t="s">
        <v>15</v>
      </c>
    </row>
    <row r="677" spans="1:9">
      <c r="A677" t="s">
        <v>171</v>
      </c>
      <c r="B677"/>
      <c r="C677">
        <v>1.28</v>
      </c>
      <c r="D677" t="s">
        <v>35</v>
      </c>
      <c r="E677" t="s">
        <v>83</v>
      </c>
      <c r="F677" t="s">
        <v>109</v>
      </c>
      <c r="H677" t="s">
        <v>15</v>
      </c>
    </row>
    <row r="678" spans="1:9">
      <c r="A678" t="s">
        <v>172</v>
      </c>
      <c r="B678"/>
      <c r="C678">
        <v>0</v>
      </c>
      <c r="D678" t="s">
        <v>13</v>
      </c>
      <c r="E678" t="s">
        <v>83</v>
      </c>
      <c r="F678" t="s">
        <v>109</v>
      </c>
      <c r="H678" t="s">
        <v>15</v>
      </c>
    </row>
    <row r="679" spans="1:9">
      <c r="A679" t="s">
        <v>110</v>
      </c>
      <c r="B679"/>
      <c r="C679">
        <v>1.4187996E-2</v>
      </c>
      <c r="D679" t="s">
        <v>13</v>
      </c>
      <c r="E679" t="s">
        <v>83</v>
      </c>
      <c r="F679" t="s">
        <v>109</v>
      </c>
      <c r="H679" t="s">
        <v>15</v>
      </c>
    </row>
    <row r="680" spans="1:9">
      <c r="A680" t="s">
        <v>173</v>
      </c>
      <c r="B680"/>
      <c r="C680">
        <v>5.1560000000000002E-2</v>
      </c>
      <c r="D680" t="s">
        <v>13</v>
      </c>
      <c r="E680" t="s">
        <v>83</v>
      </c>
      <c r="F680" t="s">
        <v>25</v>
      </c>
      <c r="H680" t="s">
        <v>15</v>
      </c>
    </row>
    <row r="681" spans="1:9">
      <c r="A681" t="s">
        <v>89</v>
      </c>
      <c r="B681"/>
      <c r="C681">
        <v>6.5989999999999998E-6</v>
      </c>
      <c r="D681" t="s">
        <v>13</v>
      </c>
      <c r="E681" t="s">
        <v>83</v>
      </c>
      <c r="F681" t="s">
        <v>174</v>
      </c>
      <c r="H681" t="s">
        <v>15</v>
      </c>
    </row>
    <row r="682" spans="1:9">
      <c r="A682" s="31" t="s">
        <v>30</v>
      </c>
      <c r="B682" s="31" t="s">
        <v>31</v>
      </c>
      <c r="C682" s="35">
        <v>0.19129835075652102</v>
      </c>
      <c r="D682" s="31" t="s">
        <v>13</v>
      </c>
      <c r="E682" t="s">
        <v>131</v>
      </c>
      <c r="G682" s="31" t="s">
        <v>22</v>
      </c>
      <c r="H682" t="s">
        <v>12</v>
      </c>
    </row>
    <row r="683" spans="1:9">
      <c r="A683" s="31" t="s">
        <v>184</v>
      </c>
      <c r="B683" s="31" t="s">
        <v>185</v>
      </c>
      <c r="C683">
        <v>0</v>
      </c>
      <c r="D683" s="31" t="s">
        <v>13</v>
      </c>
      <c r="E683" t="s">
        <v>131</v>
      </c>
      <c r="G683" s="31" t="s">
        <v>96</v>
      </c>
      <c r="H683" t="s">
        <v>12</v>
      </c>
    </row>
    <row r="684" spans="1:9">
      <c r="A684" s="31" t="s">
        <v>186</v>
      </c>
      <c r="B684" s="31" t="s">
        <v>187</v>
      </c>
      <c r="C684">
        <v>0</v>
      </c>
      <c r="D684" s="31" t="s">
        <v>13</v>
      </c>
      <c r="E684" t="s">
        <v>131</v>
      </c>
      <c r="G684" s="31" t="s">
        <v>96</v>
      </c>
      <c r="H684" t="s">
        <v>12</v>
      </c>
    </row>
    <row r="685" spans="1:9">
      <c r="A685" t="s">
        <v>188</v>
      </c>
      <c r="B685" t="s">
        <v>189</v>
      </c>
      <c r="C685">
        <v>0</v>
      </c>
      <c r="D685" s="31" t="s">
        <v>13</v>
      </c>
      <c r="E685" t="s">
        <v>131</v>
      </c>
      <c r="G685" s="31" t="s">
        <v>96</v>
      </c>
      <c r="H685" t="s">
        <v>12</v>
      </c>
    </row>
    <row r="686" spans="1:9">
      <c r="A686" s="31" t="s">
        <v>190</v>
      </c>
      <c r="B686" s="32" t="s">
        <v>191</v>
      </c>
      <c r="C686">
        <v>0</v>
      </c>
      <c r="D686" s="31" t="s">
        <v>13</v>
      </c>
      <c r="E686" t="s">
        <v>131</v>
      </c>
      <c r="G686" s="31" t="s">
        <v>96</v>
      </c>
      <c r="H686" t="s">
        <v>12</v>
      </c>
    </row>
    <row r="687" spans="1:9">
      <c r="A687" s="31" t="s">
        <v>192</v>
      </c>
      <c r="B687" s="32" t="s">
        <v>193</v>
      </c>
      <c r="C687">
        <v>0</v>
      </c>
      <c r="D687" s="31" t="s">
        <v>13</v>
      </c>
      <c r="E687" t="s">
        <v>131</v>
      </c>
      <c r="G687" s="31" t="s">
        <v>96</v>
      </c>
      <c r="H687" t="s">
        <v>12</v>
      </c>
    </row>
    <row r="688" spans="1:9">
      <c r="A688" s="11" t="s">
        <v>194</v>
      </c>
      <c r="B688" s="32"/>
      <c r="C688">
        <v>0</v>
      </c>
      <c r="D688" s="31" t="s">
        <v>13</v>
      </c>
      <c r="E688" s="31" t="s">
        <v>83</v>
      </c>
      <c r="F688" t="s">
        <v>109</v>
      </c>
      <c r="H688" t="s">
        <v>15</v>
      </c>
    </row>
    <row r="689" spans="1:9">
      <c r="A689" s="11" t="s">
        <v>82</v>
      </c>
      <c r="B689" s="31"/>
      <c r="C689">
        <v>0</v>
      </c>
      <c r="D689" s="31" t="s">
        <v>13</v>
      </c>
      <c r="E689" s="31" t="s">
        <v>83</v>
      </c>
      <c r="F689" t="s">
        <v>109</v>
      </c>
      <c r="H689" t="s">
        <v>15</v>
      </c>
    </row>
    <row r="690" spans="1:9" s="49" customFormat="1">
      <c r="B690" s="50"/>
    </row>
    <row r="691" spans="1:9">
      <c r="A691" s="24" t="s">
        <v>1</v>
      </c>
      <c r="B691" s="24" t="s">
        <v>237</v>
      </c>
    </row>
    <row r="692" spans="1:9">
      <c r="A692" s="27" t="s">
        <v>11</v>
      </c>
      <c r="B692" t="s">
        <v>311</v>
      </c>
    </row>
    <row r="693" spans="1:9">
      <c r="A693" s="27" t="s">
        <v>2</v>
      </c>
      <c r="B693" t="s">
        <v>28</v>
      </c>
    </row>
    <row r="694" spans="1:9">
      <c r="A694" s="27" t="s">
        <v>3</v>
      </c>
      <c r="B694" s="28">
        <v>1</v>
      </c>
    </row>
    <row r="695" spans="1:9">
      <c r="A695" s="27" t="s">
        <v>4</v>
      </c>
      <c r="B695" t="s">
        <v>170</v>
      </c>
    </row>
    <row r="696" spans="1:9">
      <c r="A696" s="27" t="s">
        <v>6</v>
      </c>
      <c r="B696" t="s">
        <v>91</v>
      </c>
    </row>
    <row r="697" spans="1:9">
      <c r="A697" s="27" t="s">
        <v>57</v>
      </c>
      <c r="B697"/>
    </row>
    <row r="698" spans="1:9" ht="15.6">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237</v>
      </c>
      <c r="B700" t="s">
        <v>170</v>
      </c>
      <c r="C700">
        <v>1</v>
      </c>
      <c r="D700" t="s">
        <v>91</v>
      </c>
      <c r="E700" s="31"/>
      <c r="G700" t="s">
        <v>28</v>
      </c>
      <c r="H700" t="s">
        <v>18</v>
      </c>
    </row>
    <row r="701" spans="1:9">
      <c r="A701" t="s">
        <v>175</v>
      </c>
      <c r="B701" t="s">
        <v>176</v>
      </c>
      <c r="C701">
        <v>1.5294587364305477E-4</v>
      </c>
      <c r="D701" t="s">
        <v>13</v>
      </c>
      <c r="E701" t="s">
        <v>131</v>
      </c>
      <c r="G701" t="s">
        <v>96</v>
      </c>
      <c r="H701" t="s">
        <v>12</v>
      </c>
    </row>
    <row r="702" spans="1:9">
      <c r="A702" t="s">
        <v>177</v>
      </c>
      <c r="B702" t="s">
        <v>95</v>
      </c>
      <c r="C702">
        <v>5.4000000000000001E-11</v>
      </c>
      <c r="D702" t="s">
        <v>6</v>
      </c>
      <c r="E702" t="s">
        <v>131</v>
      </c>
      <c r="G702" t="s">
        <v>96</v>
      </c>
      <c r="H702" t="s">
        <v>12</v>
      </c>
    </row>
    <row r="703" spans="1:9">
      <c r="A703" t="s">
        <v>27</v>
      </c>
      <c r="B703" t="s">
        <v>20</v>
      </c>
      <c r="C703">
        <v>0.67679502616145548</v>
      </c>
      <c r="D703" t="s">
        <v>19</v>
      </c>
      <c r="E703" t="s">
        <v>131</v>
      </c>
      <c r="G703" t="s">
        <v>28</v>
      </c>
      <c r="H703" t="s">
        <v>12</v>
      </c>
    </row>
    <row r="704" spans="1:9">
      <c r="A704" t="s">
        <v>105</v>
      </c>
      <c r="B704" t="s">
        <v>106</v>
      </c>
      <c r="C704">
        <v>1.1400000000000001E-4</v>
      </c>
      <c r="D704" t="s">
        <v>13</v>
      </c>
      <c r="E704" t="s">
        <v>131</v>
      </c>
      <c r="G704" t="s">
        <v>36</v>
      </c>
      <c r="H704" t="s">
        <v>12</v>
      </c>
    </row>
    <row r="705" spans="1:9">
      <c r="A705" t="s">
        <v>178</v>
      </c>
      <c r="B705" t="s">
        <v>179</v>
      </c>
      <c r="C705">
        <v>1.01E-4</v>
      </c>
      <c r="D705" t="s">
        <v>13</v>
      </c>
      <c r="E705" t="s">
        <v>131</v>
      </c>
      <c r="G705" t="s">
        <v>96</v>
      </c>
      <c r="H705" t="s">
        <v>12</v>
      </c>
    </row>
    <row r="706" spans="1:9">
      <c r="A706" t="s">
        <v>289</v>
      </c>
      <c r="B706" s="13" t="s">
        <v>121</v>
      </c>
      <c r="C706">
        <v>1.9118234205381845</v>
      </c>
      <c r="D706" s="26" t="s">
        <v>91</v>
      </c>
      <c r="G706" s="31" t="s">
        <v>134</v>
      </c>
      <c r="H706" t="s">
        <v>12</v>
      </c>
    </row>
    <row r="707" spans="1:9" s="26" customFormat="1">
      <c r="A707" s="31" t="s">
        <v>245</v>
      </c>
      <c r="B707" s="31" t="s">
        <v>245</v>
      </c>
      <c r="C707" s="45">
        <v>1</v>
      </c>
      <c r="D707" s="26" t="s">
        <v>6</v>
      </c>
      <c r="E707"/>
      <c r="F707" s="24"/>
      <c r="G707" s="31" t="s">
        <v>28</v>
      </c>
      <c r="H707" t="s">
        <v>12</v>
      </c>
      <c r="I707" s="24"/>
    </row>
    <row r="708" spans="1:9">
      <c r="A708" t="s">
        <v>138</v>
      </c>
      <c r="B708"/>
      <c r="C708">
        <v>5.5298333124442628E-2</v>
      </c>
      <c r="D708" t="s">
        <v>13</v>
      </c>
      <c r="E708" t="s">
        <v>83</v>
      </c>
      <c r="F708" t="s">
        <v>109</v>
      </c>
      <c r="H708" t="s">
        <v>15</v>
      </c>
    </row>
    <row r="709" spans="1:9">
      <c r="A709" t="s">
        <v>171</v>
      </c>
      <c r="B709"/>
      <c r="C709">
        <v>1.28</v>
      </c>
      <c r="D709" t="s">
        <v>35</v>
      </c>
      <c r="E709" t="s">
        <v>83</v>
      </c>
      <c r="F709" t="s">
        <v>109</v>
      </c>
      <c r="H709" t="s">
        <v>15</v>
      </c>
    </row>
    <row r="710" spans="1:9">
      <c r="A710" t="s">
        <v>172</v>
      </c>
      <c r="B710"/>
      <c r="C710">
        <v>0</v>
      </c>
      <c r="D710" t="s">
        <v>13</v>
      </c>
      <c r="E710" t="s">
        <v>83</v>
      </c>
      <c r="F710" t="s">
        <v>109</v>
      </c>
      <c r="H710" t="s">
        <v>15</v>
      </c>
    </row>
    <row r="711" spans="1:9">
      <c r="A711" t="s">
        <v>110</v>
      </c>
      <c r="B711"/>
      <c r="C711">
        <v>2.1269088000000002E-2</v>
      </c>
      <c r="D711" t="s">
        <v>13</v>
      </c>
      <c r="E711" t="s">
        <v>83</v>
      </c>
      <c r="F711" t="s">
        <v>109</v>
      </c>
      <c r="H711" t="s">
        <v>15</v>
      </c>
    </row>
    <row r="712" spans="1:9">
      <c r="A712" t="s">
        <v>173</v>
      </c>
      <c r="B712"/>
      <c r="C712">
        <v>5.1560000000000002E-2</v>
      </c>
      <c r="D712" t="s">
        <v>13</v>
      </c>
      <c r="E712" t="s">
        <v>83</v>
      </c>
      <c r="F712" t="s">
        <v>25</v>
      </c>
      <c r="H712" t="s">
        <v>15</v>
      </c>
    </row>
    <row r="713" spans="1:9">
      <c r="A713" t="s">
        <v>89</v>
      </c>
      <c r="B713"/>
      <c r="C713">
        <v>6.5989999999999998E-6</v>
      </c>
      <c r="D713" t="s">
        <v>13</v>
      </c>
      <c r="E713" t="s">
        <v>83</v>
      </c>
      <c r="F713" t="s">
        <v>174</v>
      </c>
      <c r="H713" t="s">
        <v>15</v>
      </c>
    </row>
    <row r="714" spans="1:9">
      <c r="A714" s="31" t="s">
        <v>30</v>
      </c>
      <c r="B714" s="31" t="s">
        <v>31</v>
      </c>
      <c r="C714" s="36">
        <v>0</v>
      </c>
      <c r="D714" s="31" t="s">
        <v>13</v>
      </c>
      <c r="E714" t="s">
        <v>131</v>
      </c>
      <c r="G714" s="31" t="s">
        <v>22</v>
      </c>
      <c r="H714" t="s">
        <v>12</v>
      </c>
    </row>
    <row r="715" spans="1:9">
      <c r="A715" s="31" t="s">
        <v>184</v>
      </c>
      <c r="B715" s="31" t="s">
        <v>185</v>
      </c>
      <c r="C715">
        <v>0</v>
      </c>
      <c r="D715" s="31" t="s">
        <v>13</v>
      </c>
      <c r="E715" t="s">
        <v>131</v>
      </c>
      <c r="G715" s="31" t="s">
        <v>96</v>
      </c>
      <c r="H715" t="s">
        <v>12</v>
      </c>
    </row>
    <row r="716" spans="1:9">
      <c r="A716" s="31" t="s">
        <v>186</v>
      </c>
      <c r="B716" s="31" t="s">
        <v>187</v>
      </c>
      <c r="C716">
        <v>2.0799999999999999E-4</v>
      </c>
      <c r="D716" s="31" t="s">
        <v>13</v>
      </c>
      <c r="E716" t="s">
        <v>131</v>
      </c>
      <c r="G716" s="31" t="s">
        <v>96</v>
      </c>
      <c r="H716" t="s">
        <v>12</v>
      </c>
    </row>
    <row r="717" spans="1:9">
      <c r="A717" t="s">
        <v>188</v>
      </c>
      <c r="B717" t="s">
        <v>189</v>
      </c>
      <c r="C717">
        <v>0</v>
      </c>
      <c r="D717" s="31" t="s">
        <v>13</v>
      </c>
      <c r="E717" t="s">
        <v>131</v>
      </c>
      <c r="G717" s="31" t="s">
        <v>96</v>
      </c>
      <c r="H717" t="s">
        <v>12</v>
      </c>
    </row>
    <row r="718" spans="1:9">
      <c r="A718" s="31" t="s">
        <v>190</v>
      </c>
      <c r="B718" s="32" t="s">
        <v>191</v>
      </c>
      <c r="C718">
        <v>3.98E-6</v>
      </c>
      <c r="D718" s="31" t="s">
        <v>13</v>
      </c>
      <c r="E718" t="s">
        <v>131</v>
      </c>
      <c r="G718" s="31" t="s">
        <v>96</v>
      </c>
      <c r="H718" t="s">
        <v>12</v>
      </c>
    </row>
    <row r="719" spans="1:9">
      <c r="A719" s="31" t="s">
        <v>192</v>
      </c>
      <c r="B719" s="32" t="s">
        <v>193</v>
      </c>
      <c r="C719">
        <v>0</v>
      </c>
      <c r="D719" s="31" t="s">
        <v>13</v>
      </c>
      <c r="E719" t="s">
        <v>131</v>
      </c>
      <c r="G719" s="31" t="s">
        <v>96</v>
      </c>
      <c r="H719" t="s">
        <v>12</v>
      </c>
    </row>
    <row r="720" spans="1:9">
      <c r="A720" s="11" t="s">
        <v>194</v>
      </c>
      <c r="B720" s="32"/>
      <c r="C720">
        <v>0</v>
      </c>
      <c r="D720" s="31" t="s">
        <v>13</v>
      </c>
      <c r="E720" s="31" t="s">
        <v>83</v>
      </c>
      <c r="F720" t="s">
        <v>109</v>
      </c>
      <c r="H720" t="s">
        <v>15</v>
      </c>
    </row>
    <row r="721" spans="1:9">
      <c r="A721" s="11" t="s">
        <v>82</v>
      </c>
      <c r="B721" s="31"/>
      <c r="C721">
        <v>0</v>
      </c>
      <c r="D721" s="31" t="s">
        <v>13</v>
      </c>
      <c r="E721" s="31" t="s">
        <v>83</v>
      </c>
      <c r="F721" t="s">
        <v>109</v>
      </c>
      <c r="H721" t="s">
        <v>15</v>
      </c>
    </row>
    <row r="722" spans="1:9" s="49" customFormat="1">
      <c r="B722" s="50"/>
    </row>
    <row r="723" spans="1:9">
      <c r="A723" s="24" t="s">
        <v>1</v>
      </c>
      <c r="B723" s="24" t="s">
        <v>238</v>
      </c>
    </row>
    <row r="724" spans="1:9">
      <c r="A724" s="27" t="s">
        <v>11</v>
      </c>
      <c r="B724" t="s">
        <v>312</v>
      </c>
    </row>
    <row r="725" spans="1:9">
      <c r="A725" s="27" t="s">
        <v>2</v>
      </c>
      <c r="B725" t="s">
        <v>28</v>
      </c>
    </row>
    <row r="726" spans="1:9">
      <c r="A726" s="27" t="s">
        <v>3</v>
      </c>
      <c r="B726" s="28">
        <v>1</v>
      </c>
      <c r="I726" s="13"/>
    </row>
    <row r="727" spans="1:9">
      <c r="A727" s="27" t="s">
        <v>4</v>
      </c>
      <c r="B727" t="s">
        <v>170</v>
      </c>
    </row>
    <row r="728" spans="1:9">
      <c r="A728" s="27" t="s">
        <v>6</v>
      </c>
      <c r="B728" t="s">
        <v>91</v>
      </c>
    </row>
    <row r="729" spans="1:9">
      <c r="A729" s="27" t="s">
        <v>57</v>
      </c>
      <c r="B729"/>
    </row>
    <row r="730" spans="1:9" ht="15.6">
      <c r="A730" s="18" t="s">
        <v>7</v>
      </c>
      <c r="B730"/>
    </row>
    <row r="731" spans="1:9">
      <c r="A731" s="27" t="s">
        <v>8</v>
      </c>
      <c r="B731" s="27" t="s">
        <v>4</v>
      </c>
      <c r="C731" s="27" t="s">
        <v>9</v>
      </c>
      <c r="D731" s="27" t="s">
        <v>6</v>
      </c>
      <c r="E731" s="27" t="s">
        <v>81</v>
      </c>
      <c r="F731" s="27" t="s">
        <v>10</v>
      </c>
      <c r="G731" s="27" t="s">
        <v>2</v>
      </c>
      <c r="H731" s="27" t="s">
        <v>5</v>
      </c>
      <c r="I731" s="27" t="s">
        <v>11</v>
      </c>
    </row>
    <row r="732" spans="1:9">
      <c r="A732" t="s">
        <v>238</v>
      </c>
      <c r="B732" t="s">
        <v>170</v>
      </c>
      <c r="C732">
        <v>1</v>
      </c>
      <c r="D732" t="s">
        <v>91</v>
      </c>
      <c r="E732" s="31"/>
      <c r="G732" t="s">
        <v>28</v>
      </c>
      <c r="H732" t="s">
        <v>18</v>
      </c>
    </row>
    <row r="733" spans="1:9">
      <c r="A733" t="s">
        <v>175</v>
      </c>
      <c r="B733" t="s">
        <v>176</v>
      </c>
      <c r="C733">
        <v>1.5029864785434452E-4</v>
      </c>
      <c r="D733" t="s">
        <v>13</v>
      </c>
      <c r="E733" t="s">
        <v>131</v>
      </c>
      <c r="G733" t="s">
        <v>96</v>
      </c>
      <c r="H733" t="s">
        <v>12</v>
      </c>
    </row>
    <row r="734" spans="1:9">
      <c r="A734" t="s">
        <v>177</v>
      </c>
      <c r="B734" t="s">
        <v>95</v>
      </c>
      <c r="C734">
        <v>0</v>
      </c>
      <c r="D734" t="s">
        <v>6</v>
      </c>
      <c r="E734" t="s">
        <v>131</v>
      </c>
      <c r="G734" t="s">
        <v>96</v>
      </c>
      <c r="H734" t="s">
        <v>12</v>
      </c>
    </row>
    <row r="735" spans="1:9">
      <c r="A735" t="s">
        <v>27</v>
      </c>
      <c r="B735" t="s">
        <v>20</v>
      </c>
      <c r="C735">
        <v>0.6575565843627571</v>
      </c>
      <c r="D735" t="s">
        <v>19</v>
      </c>
      <c r="E735" t="s">
        <v>131</v>
      </c>
      <c r="G735" t="s">
        <v>28</v>
      </c>
      <c r="H735" t="s">
        <v>12</v>
      </c>
    </row>
    <row r="736" spans="1:9">
      <c r="A736" t="s">
        <v>105</v>
      </c>
      <c r="B736" t="s">
        <v>106</v>
      </c>
      <c r="C736">
        <v>0</v>
      </c>
      <c r="D736" t="s">
        <v>13</v>
      </c>
      <c r="E736" t="s">
        <v>131</v>
      </c>
      <c r="G736" t="s">
        <v>36</v>
      </c>
      <c r="H736" t="s">
        <v>12</v>
      </c>
    </row>
    <row r="737" spans="1:9">
      <c r="A737" t="s">
        <v>178</v>
      </c>
      <c r="B737" t="s">
        <v>179</v>
      </c>
      <c r="C737">
        <v>0</v>
      </c>
      <c r="D737" t="s">
        <v>13</v>
      </c>
      <c r="E737" t="s">
        <v>131</v>
      </c>
      <c r="G737" t="s">
        <v>96</v>
      </c>
      <c r="H737" t="s">
        <v>12</v>
      </c>
    </row>
    <row r="738" spans="1:9">
      <c r="A738" t="s">
        <v>289</v>
      </c>
      <c r="B738" s="13" t="s">
        <v>121</v>
      </c>
      <c r="C738">
        <v>1.8787330981793062</v>
      </c>
      <c r="D738" s="26" t="s">
        <v>91</v>
      </c>
      <c r="G738" s="31" t="s">
        <v>134</v>
      </c>
      <c r="H738" t="s">
        <v>12</v>
      </c>
    </row>
    <row r="739" spans="1:9" s="26" customFormat="1">
      <c r="A739" s="31" t="s">
        <v>245</v>
      </c>
      <c r="B739" s="31" t="s">
        <v>245</v>
      </c>
      <c r="C739" s="45">
        <v>1</v>
      </c>
      <c r="D739" s="26" t="s">
        <v>6</v>
      </c>
      <c r="E739"/>
      <c r="F739" s="24"/>
      <c r="G739" s="31" t="s">
        <v>28</v>
      </c>
      <c r="H739" t="s">
        <v>12</v>
      </c>
      <c r="I739" s="24"/>
    </row>
    <row r="740" spans="1:9">
      <c r="A740" t="s">
        <v>138</v>
      </c>
      <c r="B740"/>
      <c r="C740">
        <v>9.0568692693203737E-4</v>
      </c>
      <c r="D740" t="s">
        <v>13</v>
      </c>
      <c r="E740" t="s">
        <v>83</v>
      </c>
      <c r="F740" t="s">
        <v>109</v>
      </c>
      <c r="H740" t="s">
        <v>15</v>
      </c>
    </row>
    <row r="741" spans="1:9">
      <c r="A741" t="s">
        <v>171</v>
      </c>
      <c r="B741"/>
      <c r="C741">
        <v>0</v>
      </c>
      <c r="D741" t="s">
        <v>35</v>
      </c>
      <c r="E741" t="s">
        <v>83</v>
      </c>
      <c r="F741" t="s">
        <v>109</v>
      </c>
      <c r="H741" t="s">
        <v>15</v>
      </c>
    </row>
    <row r="742" spans="1:9">
      <c r="A742" t="s">
        <v>172</v>
      </c>
      <c r="B742"/>
      <c r="C742">
        <v>0</v>
      </c>
      <c r="D742" t="s">
        <v>13</v>
      </c>
      <c r="E742" t="s">
        <v>83</v>
      </c>
      <c r="F742" t="s">
        <v>109</v>
      </c>
      <c r="H742" t="s">
        <v>15</v>
      </c>
    </row>
    <row r="743" spans="1:9">
      <c r="A743" t="s">
        <v>110</v>
      </c>
      <c r="B743"/>
      <c r="C743">
        <v>3.4834928759999994E-4</v>
      </c>
      <c r="D743" t="s">
        <v>13</v>
      </c>
      <c r="E743" t="s">
        <v>83</v>
      </c>
      <c r="F743" t="s">
        <v>109</v>
      </c>
      <c r="H743" t="s">
        <v>15</v>
      </c>
    </row>
    <row r="744" spans="1:9">
      <c r="A744" t="s">
        <v>173</v>
      </c>
      <c r="B744"/>
      <c r="C744">
        <v>0</v>
      </c>
      <c r="D744" t="s">
        <v>13</v>
      </c>
      <c r="E744" t="s">
        <v>83</v>
      </c>
      <c r="F744" t="s">
        <v>25</v>
      </c>
      <c r="H744" t="s">
        <v>15</v>
      </c>
    </row>
    <row r="745" spans="1:9">
      <c r="A745" t="s">
        <v>89</v>
      </c>
      <c r="B745"/>
      <c r="C745">
        <v>0</v>
      </c>
      <c r="D745" t="s">
        <v>13</v>
      </c>
      <c r="E745" t="s">
        <v>83</v>
      </c>
      <c r="F745" t="s">
        <v>174</v>
      </c>
      <c r="H745" t="s">
        <v>15</v>
      </c>
    </row>
    <row r="746" spans="1:9">
      <c r="A746" s="31" t="s">
        <v>30</v>
      </c>
      <c r="B746" s="31" t="s">
        <v>31</v>
      </c>
      <c r="C746" s="36">
        <v>0</v>
      </c>
      <c r="D746" s="31" t="s">
        <v>13</v>
      </c>
      <c r="E746" t="s">
        <v>131</v>
      </c>
      <c r="G746" s="31" t="s">
        <v>22</v>
      </c>
      <c r="H746" t="s">
        <v>12</v>
      </c>
    </row>
    <row r="747" spans="1:9">
      <c r="A747" s="31" t="s">
        <v>184</v>
      </c>
      <c r="B747" s="31" t="s">
        <v>185</v>
      </c>
      <c r="C747">
        <v>0</v>
      </c>
      <c r="D747" s="31" t="s">
        <v>13</v>
      </c>
      <c r="E747" t="s">
        <v>131</v>
      </c>
      <c r="G747" s="31" t="s">
        <v>96</v>
      </c>
      <c r="H747" t="s">
        <v>12</v>
      </c>
    </row>
    <row r="748" spans="1:9">
      <c r="A748" s="31" t="s">
        <v>186</v>
      </c>
      <c r="B748" s="31" t="s">
        <v>187</v>
      </c>
      <c r="C748">
        <v>0</v>
      </c>
      <c r="D748" s="31" t="s">
        <v>13</v>
      </c>
      <c r="E748" t="s">
        <v>131</v>
      </c>
      <c r="G748" s="31" t="s">
        <v>96</v>
      </c>
      <c r="H748" t="s">
        <v>12</v>
      </c>
    </row>
    <row r="749" spans="1:9">
      <c r="A749" t="s">
        <v>188</v>
      </c>
      <c r="B749" t="s">
        <v>189</v>
      </c>
      <c r="C749">
        <v>0</v>
      </c>
      <c r="D749" s="31" t="s">
        <v>13</v>
      </c>
      <c r="E749" t="s">
        <v>131</v>
      </c>
      <c r="G749" s="31" t="s">
        <v>96</v>
      </c>
      <c r="H749" t="s">
        <v>12</v>
      </c>
    </row>
    <row r="750" spans="1:9">
      <c r="A750" s="31" t="s">
        <v>190</v>
      </c>
      <c r="B750" s="32" t="s">
        <v>191</v>
      </c>
      <c r="C750">
        <v>0</v>
      </c>
      <c r="D750" s="31" t="s">
        <v>13</v>
      </c>
      <c r="E750" t="s">
        <v>131</v>
      </c>
      <c r="G750" s="31" t="s">
        <v>96</v>
      </c>
      <c r="H750" t="s">
        <v>12</v>
      </c>
    </row>
    <row r="751" spans="1:9">
      <c r="A751" s="31" t="s">
        <v>192</v>
      </c>
      <c r="B751" s="32" t="s">
        <v>193</v>
      </c>
      <c r="C751">
        <v>0</v>
      </c>
      <c r="D751" s="31" t="s">
        <v>13</v>
      </c>
      <c r="E751" t="s">
        <v>131</v>
      </c>
      <c r="G751" s="31" t="s">
        <v>96</v>
      </c>
      <c r="H751" t="s">
        <v>12</v>
      </c>
    </row>
    <row r="752" spans="1:9">
      <c r="A752" s="11" t="s">
        <v>194</v>
      </c>
      <c r="B752" s="32"/>
      <c r="C752">
        <v>0</v>
      </c>
      <c r="D752" s="31" t="s">
        <v>13</v>
      </c>
      <c r="E752" s="31" t="s">
        <v>83</v>
      </c>
      <c r="F752" t="s">
        <v>109</v>
      </c>
      <c r="H752" t="s">
        <v>15</v>
      </c>
    </row>
    <row r="753" spans="1:20">
      <c r="A753" s="11" t="s">
        <v>82</v>
      </c>
      <c r="B753" s="31"/>
      <c r="C753">
        <v>0</v>
      </c>
      <c r="D753" s="31" t="s">
        <v>13</v>
      </c>
      <c r="E753" s="31" t="s">
        <v>83</v>
      </c>
      <c r="F753" t="s">
        <v>109</v>
      </c>
      <c r="H753" t="s">
        <v>15</v>
      </c>
    </row>
    <row r="754" spans="1:20" s="49" customFormat="1">
      <c r="B754" s="50"/>
    </row>
    <row r="755" spans="1:20">
      <c r="A755" s="24" t="s">
        <v>1</v>
      </c>
      <c r="B755" s="24" t="s">
        <v>216</v>
      </c>
    </row>
    <row r="756" spans="1:20">
      <c r="A756" s="27" t="s">
        <v>11</v>
      </c>
      <c r="B756" s="13" t="s">
        <v>313</v>
      </c>
    </row>
    <row r="757" spans="1:20">
      <c r="A757" s="27" t="s">
        <v>2</v>
      </c>
      <c r="B757" s="13" t="s">
        <v>28</v>
      </c>
    </row>
    <row r="758" spans="1:20">
      <c r="A758" s="27" t="s">
        <v>3</v>
      </c>
      <c r="B758" s="13">
        <v>1</v>
      </c>
    </row>
    <row r="759" spans="1:20">
      <c r="A759" s="27" t="s">
        <v>4</v>
      </c>
      <c r="B759" s="13" t="s">
        <v>210</v>
      </c>
    </row>
    <row r="760" spans="1:20">
      <c r="A760" s="27" t="s">
        <v>6</v>
      </c>
      <c r="B760" t="s">
        <v>91</v>
      </c>
    </row>
    <row r="761" spans="1:20">
      <c r="A761" s="27" t="s">
        <v>57</v>
      </c>
      <c r="B761" s="13" t="s">
        <v>211</v>
      </c>
    </row>
    <row r="762" spans="1:20" ht="15.6">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81</v>
      </c>
      <c r="F763" s="27" t="s">
        <v>10</v>
      </c>
      <c r="G763" s="27" t="s">
        <v>2</v>
      </c>
      <c r="H763" s="27" t="s">
        <v>5</v>
      </c>
      <c r="I763" s="27" t="s">
        <v>11</v>
      </c>
    </row>
    <row r="764" spans="1:20">
      <c r="A764" t="s">
        <v>216</v>
      </c>
      <c r="B764" t="s">
        <v>210</v>
      </c>
      <c r="C764">
        <v>1</v>
      </c>
      <c r="D764" t="s">
        <v>91</v>
      </c>
      <c r="G764" t="s">
        <v>28</v>
      </c>
      <c r="H764" t="s">
        <v>18</v>
      </c>
      <c r="I764" t="s">
        <v>219</v>
      </c>
    </row>
    <row r="765" spans="1:20">
      <c r="A765" t="s">
        <v>212</v>
      </c>
      <c r="B765" t="s">
        <v>213</v>
      </c>
      <c r="C765">
        <v>2.8299989989246005E-7</v>
      </c>
      <c r="D765" t="s">
        <v>6</v>
      </c>
      <c r="G765" t="s">
        <v>36</v>
      </c>
      <c r="H765" t="s">
        <v>12</v>
      </c>
      <c r="I765" t="s">
        <v>219</v>
      </c>
    </row>
    <row r="766" spans="1:20">
      <c r="A766" s="31" t="s">
        <v>239</v>
      </c>
      <c r="B766" s="31" t="s">
        <v>239</v>
      </c>
      <c r="C766" s="41">
        <v>2.1316629352641354</v>
      </c>
      <c r="D766" t="s">
        <v>13</v>
      </c>
      <c r="G766" t="s">
        <v>28</v>
      </c>
      <c r="H766" t="s">
        <v>12</v>
      </c>
      <c r="I766" t="s">
        <v>217</v>
      </c>
    </row>
    <row r="767" spans="1:20">
      <c r="A767" s="31" t="s">
        <v>100</v>
      </c>
      <c r="B767" t="s">
        <v>38</v>
      </c>
      <c r="C767" s="41">
        <v>0.38757507913893374</v>
      </c>
      <c r="D767" t="s">
        <v>13</v>
      </c>
      <c r="G767" t="s">
        <v>28</v>
      </c>
      <c r="H767" t="s">
        <v>12</v>
      </c>
      <c r="I767" t="s">
        <v>217</v>
      </c>
    </row>
    <row r="768" spans="1:20">
      <c r="A768" t="s">
        <v>214</v>
      </c>
      <c r="B768" t="s">
        <v>215</v>
      </c>
      <c r="C768">
        <v>5.9999993977199999E-5</v>
      </c>
      <c r="D768" t="s">
        <v>13</v>
      </c>
      <c r="G768" t="s">
        <v>36</v>
      </c>
      <c r="H768" t="s">
        <v>12</v>
      </c>
      <c r="I768" t="s">
        <v>219</v>
      </c>
    </row>
    <row r="769" spans="1:11" s="26" customFormat="1">
      <c r="A769" s="31" t="s">
        <v>246</v>
      </c>
      <c r="B769" s="31" t="s">
        <v>246</v>
      </c>
      <c r="C769" s="45">
        <v>1</v>
      </c>
      <c r="D769" s="26" t="s">
        <v>6</v>
      </c>
      <c r="E769"/>
      <c r="F769" s="24"/>
      <c r="G769" s="31" t="s">
        <v>28</v>
      </c>
      <c r="H769" t="s">
        <v>12</v>
      </c>
      <c r="I769" s="24"/>
    </row>
    <row r="770" spans="1:11">
      <c r="A770" t="s">
        <v>93</v>
      </c>
      <c r="C770">
        <v>1.6132499999999999E-3</v>
      </c>
      <c r="D770" t="s">
        <v>91</v>
      </c>
      <c r="F770" t="s">
        <v>208</v>
      </c>
      <c r="H770" t="s">
        <v>15</v>
      </c>
      <c r="I770" t="s">
        <v>217</v>
      </c>
    </row>
    <row r="771" spans="1:11">
      <c r="A771" t="s">
        <v>171</v>
      </c>
      <c r="B771"/>
      <c r="C771">
        <v>11.333081249999999</v>
      </c>
      <c r="D771" t="s">
        <v>35</v>
      </c>
      <c r="F771" t="s">
        <v>109</v>
      </c>
      <c r="H771" t="s">
        <v>15</v>
      </c>
      <c r="I771" t="s">
        <v>218</v>
      </c>
    </row>
    <row r="772" spans="1:11" s="49" customFormat="1">
      <c r="B772" s="50"/>
    </row>
    <row r="773" spans="1:11" s="26" customFormat="1">
      <c r="A773" s="24" t="s">
        <v>1</v>
      </c>
      <c r="B773" s="24" t="s">
        <v>239</v>
      </c>
      <c r="C773" s="25"/>
    </row>
    <row r="774" spans="1:11" s="26" customFormat="1">
      <c r="A774" s="24" t="s">
        <v>11</v>
      </c>
      <c r="B774" s="26" t="s">
        <v>240</v>
      </c>
      <c r="C774" s="25"/>
    </row>
    <row r="775" spans="1:11" s="26" customFormat="1">
      <c r="A775" s="24" t="s">
        <v>2</v>
      </c>
      <c r="B775" s="26" t="s">
        <v>28</v>
      </c>
      <c r="C775" s="25"/>
    </row>
    <row r="776" spans="1:11" s="26" customFormat="1">
      <c r="A776" s="27" t="s">
        <v>4</v>
      </c>
      <c r="B776" s="31" t="s">
        <v>239</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233</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239</v>
      </c>
      <c r="B782" s="31" t="s">
        <v>239</v>
      </c>
      <c r="C782" s="40">
        <v>1</v>
      </c>
      <c r="D782" s="26" t="s">
        <v>13</v>
      </c>
      <c r="E782" s="31"/>
      <c r="F782" s="31"/>
      <c r="G782" s="31" t="s">
        <v>28</v>
      </c>
      <c r="H782" s="31" t="s">
        <v>18</v>
      </c>
      <c r="I782" s="31"/>
      <c r="J782" s="31"/>
      <c r="K782" s="31"/>
    </row>
    <row r="783" spans="1:11" s="26" customFormat="1">
      <c r="A783" s="31" t="s">
        <v>241</v>
      </c>
      <c r="B783" s="31" t="s">
        <v>241</v>
      </c>
      <c r="C783" s="40">
        <v>1</v>
      </c>
      <c r="D783" s="26" t="s">
        <v>13</v>
      </c>
      <c r="E783" s="31"/>
      <c r="F783" s="31"/>
      <c r="G783" s="31" t="s">
        <v>28</v>
      </c>
      <c r="H783" t="s">
        <v>12</v>
      </c>
      <c r="I783" s="31" t="s">
        <v>244</v>
      </c>
      <c r="J783" s="31"/>
      <c r="K783" s="31"/>
    </row>
    <row r="784" spans="1:11" s="26" customFormat="1">
      <c r="A784" s="31" t="s">
        <v>34</v>
      </c>
      <c r="B784" s="31" t="s">
        <v>33</v>
      </c>
      <c r="C784" s="41">
        <v>0.38400000000000001</v>
      </c>
      <c r="D784" t="s">
        <v>19</v>
      </c>
      <c r="E784" t="s">
        <v>131</v>
      </c>
      <c r="F784"/>
      <c r="G784" t="s">
        <v>28</v>
      </c>
      <c r="H784" t="s">
        <v>12</v>
      </c>
      <c r="I784"/>
      <c r="J784" s="31"/>
      <c r="K784" s="31"/>
    </row>
    <row r="785" spans="1:11" s="26" customFormat="1">
      <c r="A785" t="s">
        <v>184</v>
      </c>
      <c r="B785" t="s">
        <v>185</v>
      </c>
      <c r="C785" s="13">
        <v>2.8400000000000002E-4</v>
      </c>
      <c r="D785" t="s">
        <v>13</v>
      </c>
      <c r="E785" t="s">
        <v>131</v>
      </c>
      <c r="F785"/>
      <c r="G785" t="s">
        <v>96</v>
      </c>
      <c r="H785" t="s">
        <v>12</v>
      </c>
      <c r="I785"/>
      <c r="J785" s="31"/>
      <c r="K785" s="31"/>
    </row>
    <row r="786" spans="1:11" s="26" customFormat="1">
      <c r="A786" t="s">
        <v>220</v>
      </c>
      <c r="B786" t="s">
        <v>221</v>
      </c>
      <c r="C786" s="13">
        <v>3.0400000000000002E-4</v>
      </c>
      <c r="D786" t="s">
        <v>13</v>
      </c>
      <c r="E786" t="s">
        <v>131</v>
      </c>
      <c r="F786"/>
      <c r="G786" t="s">
        <v>96</v>
      </c>
      <c r="H786" t="s">
        <v>12</v>
      </c>
      <c r="I786"/>
      <c r="J786" s="31"/>
      <c r="K786" s="31"/>
    </row>
    <row r="787" spans="1:11" s="26" customFormat="1">
      <c r="A787" t="s">
        <v>186</v>
      </c>
      <c r="B787" t="s">
        <v>187</v>
      </c>
      <c r="C787" s="13">
        <v>8.2600000000000002E-5</v>
      </c>
      <c r="D787" t="s">
        <v>13</v>
      </c>
      <c r="E787" t="s">
        <v>131</v>
      </c>
      <c r="F787"/>
      <c r="G787" t="s">
        <v>96</v>
      </c>
      <c r="H787" t="s">
        <v>12</v>
      </c>
      <c r="I787"/>
      <c r="J787" s="31"/>
      <c r="K787" s="31"/>
    </row>
    <row r="788" spans="1:11" s="26" customFormat="1">
      <c r="A788" t="s">
        <v>222</v>
      </c>
      <c r="B788" t="s">
        <v>223</v>
      </c>
      <c r="C788" s="13">
        <v>8.2699999999999996E-11</v>
      </c>
      <c r="D788" t="s">
        <v>6</v>
      </c>
      <c r="E788" t="s">
        <v>131</v>
      </c>
      <c r="F788"/>
      <c r="G788" t="s">
        <v>36</v>
      </c>
      <c r="H788" t="s">
        <v>12</v>
      </c>
      <c r="I788"/>
      <c r="J788" s="31"/>
      <c r="K788" s="31"/>
    </row>
    <row r="789" spans="1:11" s="26" customFormat="1">
      <c r="A789" t="s">
        <v>224</v>
      </c>
      <c r="B789" t="s">
        <v>225</v>
      </c>
      <c r="C789" s="13">
        <v>7.4400000000000002E-10</v>
      </c>
      <c r="D789" t="s">
        <v>6</v>
      </c>
      <c r="E789" t="s">
        <v>131</v>
      </c>
      <c r="F789"/>
      <c r="G789" t="s">
        <v>96</v>
      </c>
      <c r="H789" t="s">
        <v>12</v>
      </c>
      <c r="I789"/>
      <c r="J789" s="31"/>
      <c r="K789" s="31"/>
    </row>
    <row r="790" spans="1:11" s="26" customFormat="1">
      <c r="A790" t="s">
        <v>226</v>
      </c>
      <c r="B790" t="s">
        <v>227</v>
      </c>
      <c r="C790" s="13">
        <v>3.3099999999999999E-10</v>
      </c>
      <c r="D790" t="s">
        <v>6</v>
      </c>
      <c r="E790" t="s">
        <v>131</v>
      </c>
      <c r="F790"/>
      <c r="G790" t="s">
        <v>96</v>
      </c>
      <c r="H790" t="s">
        <v>12</v>
      </c>
      <c r="I790"/>
      <c r="J790" s="31"/>
      <c r="K790" s="31"/>
    </row>
    <row r="791" spans="1:11" s="26" customFormat="1">
      <c r="A791" t="s">
        <v>97</v>
      </c>
      <c r="B791" t="s">
        <v>98</v>
      </c>
      <c r="C791" s="13">
        <v>5.1400000000000003E-12</v>
      </c>
      <c r="D791" t="s">
        <v>6</v>
      </c>
      <c r="E791" t="s">
        <v>131</v>
      </c>
      <c r="F791"/>
      <c r="G791" t="s">
        <v>96</v>
      </c>
      <c r="H791" t="s">
        <v>12</v>
      </c>
      <c r="I791"/>
      <c r="J791" s="31"/>
      <c r="K791" s="31"/>
    </row>
    <row r="792" spans="1:11" s="26" customFormat="1">
      <c r="A792" t="s">
        <v>228</v>
      </c>
      <c r="B792" t="s">
        <v>229</v>
      </c>
      <c r="C792" s="13">
        <v>5.7899999999999997E-10</v>
      </c>
      <c r="D792" t="s">
        <v>6</v>
      </c>
      <c r="E792" t="s">
        <v>131</v>
      </c>
      <c r="F792"/>
      <c r="G792" t="s">
        <v>96</v>
      </c>
      <c r="H792" t="s">
        <v>12</v>
      </c>
      <c r="I792"/>
      <c r="J792" s="31"/>
      <c r="K792" s="31"/>
    </row>
    <row r="793" spans="1:11" s="26" customFormat="1">
      <c r="A793" t="s">
        <v>230</v>
      </c>
      <c r="B793" t="s">
        <v>231</v>
      </c>
      <c r="C793" s="13">
        <v>-2.2699999999999999E-4</v>
      </c>
      <c r="D793" t="s">
        <v>13</v>
      </c>
      <c r="E793" t="s">
        <v>131</v>
      </c>
      <c r="F793"/>
      <c r="G793" t="s">
        <v>22</v>
      </c>
      <c r="H793" t="s">
        <v>12</v>
      </c>
      <c r="I793"/>
      <c r="J793" s="31"/>
      <c r="K793" s="31"/>
    </row>
    <row r="794" spans="1:11" s="26" customFormat="1">
      <c r="A794" s="31" t="s">
        <v>90</v>
      </c>
      <c r="B794" s="31"/>
      <c r="C794" s="42">
        <v>8.3199999999999996E-2</v>
      </c>
      <c r="D794" s="26" t="s">
        <v>91</v>
      </c>
      <c r="E794" s="31" t="s">
        <v>83</v>
      </c>
      <c r="F794" s="26" t="s">
        <v>92</v>
      </c>
      <c r="G794"/>
      <c r="H794" t="s">
        <v>15</v>
      </c>
      <c r="I794" s="31"/>
      <c r="J794" s="31"/>
      <c r="K794" s="31"/>
    </row>
    <row r="795" spans="1:11" s="26" customFormat="1">
      <c r="A795" t="s">
        <v>194</v>
      </c>
      <c r="B795"/>
      <c r="C795" s="13">
        <v>1.2300000000000001E-4</v>
      </c>
      <c r="D795" t="s">
        <v>13</v>
      </c>
      <c r="E795" s="31" t="s">
        <v>83</v>
      </c>
      <c r="F795" s="28" t="s">
        <v>109</v>
      </c>
      <c r="G795"/>
      <c r="H795" t="s">
        <v>15</v>
      </c>
      <c r="I795"/>
      <c r="J795" s="31"/>
      <c r="K795" s="31"/>
    </row>
    <row r="796" spans="1:11" s="26" customFormat="1">
      <c r="A796" s="31" t="s">
        <v>232</v>
      </c>
      <c r="B796" s="31"/>
      <c r="C796" s="29">
        <v>6.0000000000000002E-6</v>
      </c>
      <c r="D796" s="26" t="s">
        <v>13</v>
      </c>
      <c r="E796" s="31" t="s">
        <v>83</v>
      </c>
      <c r="F796" s="28" t="s">
        <v>109</v>
      </c>
      <c r="G796"/>
      <c r="H796" t="s">
        <v>15</v>
      </c>
      <c r="I796" s="31"/>
      <c r="J796" s="31"/>
      <c r="K796" s="31"/>
    </row>
    <row r="797" spans="1:11" s="49" customFormat="1">
      <c r="B797" s="50"/>
    </row>
    <row r="798" spans="1:11" s="26" customFormat="1">
      <c r="A798" s="24" t="s">
        <v>1</v>
      </c>
      <c r="B798" s="43" t="s">
        <v>241</v>
      </c>
      <c r="C798" s="25"/>
    </row>
    <row r="799" spans="1:11" s="26" customFormat="1">
      <c r="A799" s="24" t="s">
        <v>11</v>
      </c>
      <c r="B799" s="31" t="s">
        <v>242</v>
      </c>
    </row>
    <row r="800" spans="1:11" s="26" customFormat="1">
      <c r="A800" s="24" t="s">
        <v>2</v>
      </c>
      <c r="B800" s="26" t="s">
        <v>28</v>
      </c>
      <c r="C800" s="25"/>
    </row>
    <row r="801" spans="1:11" s="26" customFormat="1">
      <c r="A801" s="27" t="s">
        <v>4</v>
      </c>
      <c r="B801" s="31" t="s">
        <v>241</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211</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241</v>
      </c>
      <c r="B807" s="31" t="s">
        <v>241</v>
      </c>
      <c r="C807" s="40">
        <v>1</v>
      </c>
      <c r="D807" s="26" t="s">
        <v>13</v>
      </c>
      <c r="E807" s="31"/>
      <c r="F807" s="31"/>
      <c r="G807" s="31" t="s">
        <v>28</v>
      </c>
      <c r="H807" t="s">
        <v>18</v>
      </c>
      <c r="J807" s="31"/>
      <c r="K807" s="31"/>
    </row>
    <row r="808" spans="1:11" s="26" customFormat="1">
      <c r="A808" s="26" t="s">
        <v>178</v>
      </c>
      <c r="B808" s="26" t="s">
        <v>179</v>
      </c>
      <c r="C808" s="44">
        <v>1.3129534488582797E-3</v>
      </c>
      <c r="D808" s="26" t="s">
        <v>13</v>
      </c>
      <c r="E808" t="s">
        <v>131</v>
      </c>
      <c r="G808" s="26" t="s">
        <v>96</v>
      </c>
      <c r="H808" s="26" t="s">
        <v>12</v>
      </c>
      <c r="I808" s="26" t="s">
        <v>243</v>
      </c>
    </row>
    <row r="809" spans="1:11" s="49" customFormat="1">
      <c r="B809" s="50"/>
    </row>
    <row r="810" spans="1:11" s="26" customFormat="1">
      <c r="A810" s="24" t="s">
        <v>1</v>
      </c>
      <c r="B810" s="43" t="s">
        <v>245</v>
      </c>
      <c r="C810" s="25"/>
    </row>
    <row r="811" spans="1:11" s="26" customFormat="1">
      <c r="A811" s="24" t="s">
        <v>11</v>
      </c>
      <c r="B811" s="31" t="s">
        <v>291</v>
      </c>
    </row>
    <row r="812" spans="1:11" s="26" customFormat="1">
      <c r="A812" s="24" t="s">
        <v>2</v>
      </c>
      <c r="B812" s="26" t="s">
        <v>28</v>
      </c>
      <c r="C812" s="25"/>
    </row>
    <row r="813" spans="1:11" s="26" customFormat="1">
      <c r="A813" s="27" t="s">
        <v>4</v>
      </c>
      <c r="B813" s="31" t="s">
        <v>245</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245</v>
      </c>
      <c r="B819" s="31" t="s">
        <v>245</v>
      </c>
      <c r="C819" s="45">
        <v>1</v>
      </c>
      <c r="D819" s="26" t="s">
        <v>6</v>
      </c>
      <c r="E819"/>
      <c r="F819" s="24"/>
      <c r="G819" s="31" t="s">
        <v>28</v>
      </c>
      <c r="H819" t="s">
        <v>18</v>
      </c>
      <c r="I819" s="24"/>
    </row>
    <row r="820" spans="1:9">
      <c r="A820" t="s">
        <v>438</v>
      </c>
      <c r="B820" s="31" t="s">
        <v>520</v>
      </c>
      <c r="C820" s="46">
        <v>0.1764792</v>
      </c>
      <c r="D820" s="26" t="s">
        <v>35</v>
      </c>
      <c r="E820" s="31"/>
      <c r="G820" t="s">
        <v>28</v>
      </c>
      <c r="H820" s="31" t="s">
        <v>12</v>
      </c>
    </row>
    <row r="821" spans="1:9">
      <c r="A821" s="31" t="s">
        <v>34</v>
      </c>
      <c r="B821" s="31" t="s">
        <v>33</v>
      </c>
      <c r="C821" s="53">
        <v>2.47205137945098E-3</v>
      </c>
      <c r="D821" t="s">
        <v>19</v>
      </c>
      <c r="G821" t="s">
        <v>28</v>
      </c>
      <c r="H821" t="s">
        <v>12</v>
      </c>
      <c r="I821" t="s">
        <v>288</v>
      </c>
    </row>
    <row r="822" spans="1:9">
      <c r="A822" t="s">
        <v>138</v>
      </c>
      <c r="B822"/>
      <c r="C822" s="21">
        <v>6.366155912253407E-4</v>
      </c>
      <c r="D822" t="s">
        <v>13</v>
      </c>
      <c r="E822" t="s">
        <v>83</v>
      </c>
      <c r="F822" t="s">
        <v>109</v>
      </c>
      <c r="H822" t="s">
        <v>15</v>
      </c>
      <c r="I822" t="s">
        <v>290</v>
      </c>
    </row>
    <row r="823" spans="1:9">
      <c r="A823" t="s">
        <v>110</v>
      </c>
      <c r="B823"/>
      <c r="C823" s="21">
        <v>7.346844241170861E-3</v>
      </c>
      <c r="D823" t="s">
        <v>13</v>
      </c>
      <c r="E823" t="s">
        <v>83</v>
      </c>
      <c r="F823" t="s">
        <v>109</v>
      </c>
      <c r="H823" t="s">
        <v>15</v>
      </c>
      <c r="I823" t="s">
        <v>290</v>
      </c>
    </row>
    <row r="824" spans="1:9" s="49" customFormat="1">
      <c r="B824" s="50"/>
    </row>
    <row r="825" spans="1:9" s="26" customFormat="1">
      <c r="A825" s="24" t="s">
        <v>1</v>
      </c>
      <c r="B825" s="43" t="s">
        <v>246</v>
      </c>
      <c r="C825" s="25"/>
    </row>
    <row r="826" spans="1:9" s="26" customFormat="1">
      <c r="A826" s="24" t="s">
        <v>11</v>
      </c>
      <c r="B826" s="31" t="s">
        <v>247</v>
      </c>
    </row>
    <row r="827" spans="1:9" s="26" customFormat="1">
      <c r="A827" s="24" t="s">
        <v>2</v>
      </c>
      <c r="B827" s="26" t="s">
        <v>28</v>
      </c>
      <c r="C827" s="25"/>
    </row>
    <row r="828" spans="1:9" s="26" customFormat="1">
      <c r="A828" s="27" t="s">
        <v>4</v>
      </c>
      <c r="B828" s="31" t="s">
        <v>246</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246</v>
      </c>
      <c r="B834" s="31" t="s">
        <v>246</v>
      </c>
      <c r="C834" s="45">
        <v>1</v>
      </c>
      <c r="D834" s="26" t="s">
        <v>6</v>
      </c>
      <c r="E834"/>
      <c r="F834" s="24"/>
      <c r="G834" s="31" t="s">
        <v>28</v>
      </c>
      <c r="H834" t="s">
        <v>18</v>
      </c>
      <c r="I834" s="24"/>
    </row>
    <row r="835" spans="1:9">
      <c r="A835" t="s">
        <v>438</v>
      </c>
      <c r="B835" s="31" t="s">
        <v>520</v>
      </c>
      <c r="C835" s="46">
        <v>0.1764792</v>
      </c>
      <c r="D835" s="26" t="s">
        <v>35</v>
      </c>
      <c r="E835" s="31"/>
      <c r="G835" t="s">
        <v>28</v>
      </c>
      <c r="H835" s="31" t="s">
        <v>12</v>
      </c>
    </row>
    <row r="836" spans="1:9">
      <c r="A836" s="31" t="s">
        <v>34</v>
      </c>
      <c r="B836" s="31" t="s">
        <v>33</v>
      </c>
      <c r="C836" s="53">
        <v>2.5489599999999999E-3</v>
      </c>
      <c r="D836" t="s">
        <v>19</v>
      </c>
      <c r="G836" t="s">
        <v>28</v>
      </c>
      <c r="H836" t="s">
        <v>12</v>
      </c>
      <c r="I836" t="s">
        <v>288</v>
      </c>
    </row>
    <row r="837" spans="1:9">
      <c r="A837" t="s">
        <v>110</v>
      </c>
      <c r="B837"/>
      <c r="C837" s="13">
        <v>7.5754137849407994E-3</v>
      </c>
      <c r="D837" t="s">
        <v>13</v>
      </c>
      <c r="E837" t="s">
        <v>83</v>
      </c>
      <c r="F837" t="s">
        <v>109</v>
      </c>
      <c r="H837" t="s">
        <v>15</v>
      </c>
      <c r="I837" t="s">
        <v>292</v>
      </c>
    </row>
    <row r="838" spans="1:9" s="49" customFormat="1">
      <c r="B838" s="50"/>
    </row>
    <row r="839" spans="1:9">
      <c r="A839" s="24" t="s">
        <v>1</v>
      </c>
      <c r="B839" s="43" t="s">
        <v>271</v>
      </c>
      <c r="C839" s="25"/>
      <c r="D839" s="26"/>
      <c r="E839" s="26"/>
      <c r="F839" s="26"/>
      <c r="G839" s="26"/>
      <c r="H839" s="26"/>
      <c r="I839" s="26"/>
    </row>
    <row r="840" spans="1:9">
      <c r="A840" s="24" t="s">
        <v>11</v>
      </c>
      <c r="B840" s="31" t="s">
        <v>272</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99</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91</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271</v>
      </c>
      <c r="B848" s="31" t="s">
        <v>99</v>
      </c>
      <c r="C848" s="26">
        <v>1</v>
      </c>
      <c r="D848" s="26" t="s">
        <v>91</v>
      </c>
      <c r="F848" s="24"/>
      <c r="G848" s="31" t="s">
        <v>28</v>
      </c>
      <c r="H848" t="s">
        <v>18</v>
      </c>
      <c r="I848" s="24"/>
    </row>
    <row r="849" spans="1:9">
      <c r="A849" t="s">
        <v>273</v>
      </c>
      <c r="B849" s="13" t="s">
        <v>273</v>
      </c>
      <c r="C849" s="41">
        <v>0.1764792</v>
      </c>
      <c r="D849" s="26" t="s">
        <v>35</v>
      </c>
      <c r="G849" t="s">
        <v>28</v>
      </c>
      <c r="H849" t="s">
        <v>12</v>
      </c>
      <c r="I849" t="s">
        <v>282</v>
      </c>
    </row>
    <row r="850" spans="1:9">
      <c r="A850" t="s">
        <v>274</v>
      </c>
      <c r="B850" s="13" t="s">
        <v>99</v>
      </c>
      <c r="C850">
        <v>3.6361999999999998E-2</v>
      </c>
      <c r="D850" s="26" t="s">
        <v>91</v>
      </c>
      <c r="G850" t="s">
        <v>28</v>
      </c>
      <c r="H850" t="s">
        <v>12</v>
      </c>
    </row>
    <row r="851" spans="1:9">
      <c r="A851" t="s">
        <v>275</v>
      </c>
      <c r="B851" s="13" t="s">
        <v>99</v>
      </c>
      <c r="C851">
        <v>6.9374000000000005E-2</v>
      </c>
      <c r="D851" s="26" t="s">
        <v>91</v>
      </c>
      <c r="G851" t="s">
        <v>28</v>
      </c>
      <c r="H851" t="s">
        <v>12</v>
      </c>
    </row>
    <row r="852" spans="1:9">
      <c r="A852" t="s">
        <v>276</v>
      </c>
      <c r="B852" s="13" t="s">
        <v>99</v>
      </c>
      <c r="C852">
        <v>8.3135000000000001E-2</v>
      </c>
      <c r="D852" s="26" t="s">
        <v>91</v>
      </c>
      <c r="G852" t="s">
        <v>28</v>
      </c>
      <c r="H852" t="s">
        <v>12</v>
      </c>
    </row>
    <row r="853" spans="1:9">
      <c r="A853" t="s">
        <v>277</v>
      </c>
      <c r="B853" s="13" t="s">
        <v>99</v>
      </c>
      <c r="C853">
        <v>3.4417999999999997E-2</v>
      </c>
      <c r="D853" s="26" t="s">
        <v>91</v>
      </c>
      <c r="G853" t="s">
        <v>28</v>
      </c>
      <c r="H853" t="s">
        <v>12</v>
      </c>
    </row>
    <row r="854" spans="1:9">
      <c r="A854" t="s">
        <v>278</v>
      </c>
      <c r="B854" s="13" t="s">
        <v>99</v>
      </c>
      <c r="C854">
        <v>0.42777999999999999</v>
      </c>
      <c r="D854" s="26" t="s">
        <v>91</v>
      </c>
      <c r="G854" t="s">
        <v>28</v>
      </c>
      <c r="H854" t="s">
        <v>12</v>
      </c>
    </row>
    <row r="855" spans="1:9">
      <c r="A855" t="s">
        <v>279</v>
      </c>
      <c r="B855" s="13" t="s">
        <v>99</v>
      </c>
      <c r="C855">
        <v>0.29048000000000002</v>
      </c>
      <c r="D855" s="26" t="s">
        <v>91</v>
      </c>
      <c r="G855" t="s">
        <v>28</v>
      </c>
      <c r="H855" t="s">
        <v>12</v>
      </c>
    </row>
    <row r="856" spans="1:9">
      <c r="A856" t="s">
        <v>280</v>
      </c>
      <c r="B856" s="13" t="s">
        <v>99</v>
      </c>
      <c r="C856">
        <v>5.8443000000000002E-2</v>
      </c>
      <c r="D856" s="26" t="s">
        <v>91</v>
      </c>
      <c r="G856" t="s">
        <v>28</v>
      </c>
      <c r="H856" t="s">
        <v>12</v>
      </c>
    </row>
    <row r="857" spans="1:9">
      <c r="A857" t="s">
        <v>84</v>
      </c>
      <c r="C857" s="13">
        <v>6.4625669007360007E-5</v>
      </c>
      <c r="D857" s="26" t="s">
        <v>13</v>
      </c>
      <c r="E857" t="s">
        <v>83</v>
      </c>
      <c r="F857" t="s">
        <v>109</v>
      </c>
      <c r="G857" s="13"/>
      <c r="H857" t="s">
        <v>15</v>
      </c>
      <c r="I857" t="s">
        <v>437</v>
      </c>
    </row>
    <row r="858" spans="1:9">
      <c r="A858" t="s">
        <v>32</v>
      </c>
      <c r="C858" s="13">
        <v>2.3123872191696001E-4</v>
      </c>
      <c r="D858" s="26" t="s">
        <v>13</v>
      </c>
      <c r="E858" t="s">
        <v>83</v>
      </c>
      <c r="F858" t="s">
        <v>109</v>
      </c>
      <c r="G858" s="13"/>
      <c r="H858" t="s">
        <v>15</v>
      </c>
      <c r="I858" t="s">
        <v>437</v>
      </c>
    </row>
    <row r="859" spans="1:9">
      <c r="A859" t="s">
        <v>281</v>
      </c>
      <c r="C859" s="13">
        <v>5.5436706695375997E-4</v>
      </c>
      <c r="D859" s="26" t="s">
        <v>13</v>
      </c>
      <c r="E859" t="s">
        <v>83</v>
      </c>
      <c r="F859" t="s">
        <v>109</v>
      </c>
      <c r="G859" s="13"/>
      <c r="H859" t="s">
        <v>15</v>
      </c>
      <c r="I859" t="s">
        <v>437</v>
      </c>
    </row>
    <row r="860" spans="1:9">
      <c r="A860" t="s">
        <v>86</v>
      </c>
      <c r="C860" s="57">
        <v>6.6938056226529602E-3</v>
      </c>
      <c r="D860" s="26" t="s">
        <v>13</v>
      </c>
      <c r="E860" t="s">
        <v>83</v>
      </c>
      <c r="F860" t="s">
        <v>109</v>
      </c>
      <c r="H860" t="s">
        <v>15</v>
      </c>
      <c r="I860" t="s">
        <v>437</v>
      </c>
    </row>
    <row r="861" spans="1:9">
      <c r="A861" t="s">
        <v>142</v>
      </c>
      <c r="C861" s="13">
        <v>5.0488803912000003E-6</v>
      </c>
      <c r="D861" s="26" t="s">
        <v>13</v>
      </c>
      <c r="E861" t="s">
        <v>83</v>
      </c>
      <c r="F861" t="s">
        <v>109</v>
      </c>
      <c r="G861" s="13"/>
      <c r="H861" t="s">
        <v>15</v>
      </c>
      <c r="I861" t="s">
        <v>437</v>
      </c>
    </row>
    <row r="862" spans="1:9">
      <c r="A862" t="s">
        <v>88</v>
      </c>
      <c r="C862" s="13">
        <v>1.2521223370175999E-4</v>
      </c>
      <c r="D862" s="26" t="s">
        <v>13</v>
      </c>
      <c r="E862" t="s">
        <v>83</v>
      </c>
      <c r="F862" t="s">
        <v>109</v>
      </c>
      <c r="G862" s="13"/>
      <c r="H862" t="s">
        <v>15</v>
      </c>
      <c r="I862" t="s">
        <v>437</v>
      </c>
    </row>
    <row r="863" spans="1:9">
      <c r="A863" s="49"/>
      <c r="B863" s="50"/>
      <c r="C863" s="49"/>
      <c r="D863" s="49"/>
      <c r="E863" s="49"/>
      <c r="F863" s="49"/>
      <c r="G863" s="49"/>
      <c r="H863" s="49"/>
      <c r="I863" s="49"/>
    </row>
    <row r="864" spans="1:9">
      <c r="A864" s="24" t="s">
        <v>1</v>
      </c>
      <c r="B864" s="43" t="s">
        <v>286</v>
      </c>
      <c r="C864" s="25"/>
      <c r="D864" s="26"/>
      <c r="E864" s="26"/>
      <c r="F864" s="26"/>
      <c r="G864" s="26"/>
      <c r="H864" s="26"/>
      <c r="I864" s="26"/>
    </row>
    <row r="865" spans="1:9">
      <c r="A865" s="24" t="s">
        <v>11</v>
      </c>
      <c r="B865" s="31" t="s">
        <v>285</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170</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91</v>
      </c>
      <c r="C869" s="25"/>
      <c r="D869" s="29"/>
      <c r="E869" s="26"/>
      <c r="F869" s="26"/>
      <c r="G869" s="26"/>
      <c r="H869" s="26"/>
      <c r="I869" s="26"/>
    </row>
    <row r="870" spans="1:9">
      <c r="A870" s="24" t="s">
        <v>57</v>
      </c>
      <c r="B870" s="26" t="s">
        <v>287</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283</v>
      </c>
      <c r="B873" s="31" t="s">
        <v>170</v>
      </c>
      <c r="C873" s="26">
        <v>1</v>
      </c>
      <c r="D873" s="26" t="s">
        <v>91</v>
      </c>
      <c r="F873" s="24"/>
      <c r="G873" s="31" t="s">
        <v>28</v>
      </c>
      <c r="H873" t="s">
        <v>18</v>
      </c>
      <c r="I873" s="24"/>
    </row>
    <row r="874" spans="1:9">
      <c r="A874" t="s">
        <v>284</v>
      </c>
      <c r="B874" s="31" t="s">
        <v>170</v>
      </c>
      <c r="C874" s="26">
        <v>1</v>
      </c>
      <c r="D874" s="26" t="s">
        <v>91</v>
      </c>
      <c r="G874" t="s">
        <v>134</v>
      </c>
      <c r="H874" t="s">
        <v>12</v>
      </c>
    </row>
    <row r="875" spans="1:9">
      <c r="A875" s="49"/>
      <c r="B875" s="50"/>
      <c r="C875" s="49"/>
      <c r="D875" s="49"/>
      <c r="E875" s="49"/>
      <c r="F875" s="49"/>
      <c r="G875" s="49"/>
      <c r="H875" s="49"/>
      <c r="I875" s="49"/>
    </row>
    <row r="876" spans="1:9">
      <c r="A876" s="24" t="s">
        <v>1</v>
      </c>
      <c r="B876" s="43" t="s">
        <v>382</v>
      </c>
      <c r="C876" s="25"/>
      <c r="D876" s="26"/>
      <c r="E876" s="26"/>
      <c r="F876" s="26"/>
      <c r="G876" s="26"/>
      <c r="H876" s="26"/>
      <c r="I876" s="26"/>
    </row>
    <row r="877" spans="1:9">
      <c r="A877" s="24" t="s">
        <v>11</v>
      </c>
      <c r="B877" s="31" t="s">
        <v>383</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384</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382</v>
      </c>
      <c r="B885" s="31" t="s">
        <v>384</v>
      </c>
      <c r="C885" s="26">
        <v>1</v>
      </c>
      <c r="D885" s="26" t="s">
        <v>13</v>
      </c>
      <c r="F885" s="24"/>
      <c r="G885" s="31" t="s">
        <v>28</v>
      </c>
      <c r="H885" t="s">
        <v>18</v>
      </c>
      <c r="I885" s="24"/>
    </row>
    <row r="886" spans="1:10">
      <c r="A886" s="49"/>
      <c r="B886" s="50"/>
      <c r="C886" s="49"/>
      <c r="D886" s="49"/>
      <c r="E886" s="49"/>
      <c r="F886" s="49"/>
      <c r="G886" s="49"/>
      <c r="H886" s="49"/>
      <c r="I886" s="49"/>
    </row>
    <row r="887" spans="1:10" ht="15.6">
      <c r="A887" s="18" t="s">
        <v>1</v>
      </c>
      <c r="B887" s="43" t="s">
        <v>385</v>
      </c>
    </row>
    <row r="888" spans="1:10">
      <c r="A888" s="24" t="s">
        <v>2</v>
      </c>
      <c r="B888" s="26" t="s">
        <v>28</v>
      </c>
      <c r="H888" s="55"/>
    </row>
    <row r="889" spans="1:10">
      <c r="A889" s="24" t="s">
        <v>3</v>
      </c>
      <c r="B889">
        <v>1</v>
      </c>
      <c r="F889" s="13"/>
      <c r="H889" s="13"/>
    </row>
    <row r="890" spans="1:10">
      <c r="A890" s="24" t="s">
        <v>4</v>
      </c>
      <c r="B890" t="s">
        <v>386</v>
      </c>
      <c r="F890" s="13"/>
      <c r="J890" s="56"/>
    </row>
    <row r="891" spans="1:10">
      <c r="A891" s="24" t="s">
        <v>5</v>
      </c>
      <c r="B891" t="s">
        <v>59</v>
      </c>
      <c r="F891" s="20"/>
    </row>
    <row r="892" spans="1:10">
      <c r="A892" s="24" t="s">
        <v>6</v>
      </c>
      <c r="B892" t="s">
        <v>35</v>
      </c>
    </row>
    <row r="893" spans="1:10">
      <c r="A893" s="24" t="s">
        <v>57</v>
      </c>
      <c r="B893" t="s">
        <v>233</v>
      </c>
    </row>
    <row r="894" spans="1:10" ht="15.6">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138</v>
      </c>
      <c r="B896"/>
      <c r="C896">
        <v>0</v>
      </c>
      <c r="D896" t="s">
        <v>13</v>
      </c>
      <c r="E896" t="s">
        <v>83</v>
      </c>
      <c r="F896" t="s">
        <v>25</v>
      </c>
      <c r="H896" t="s">
        <v>15</v>
      </c>
      <c r="I896" t="s">
        <v>388</v>
      </c>
    </row>
    <row r="897" spans="1:9">
      <c r="A897" t="s">
        <v>138</v>
      </c>
      <c r="B897"/>
      <c r="C897">
        <v>0</v>
      </c>
      <c r="D897" t="s">
        <v>13</v>
      </c>
      <c r="E897" t="s">
        <v>83</v>
      </c>
      <c r="F897" t="s">
        <v>25</v>
      </c>
      <c r="H897" t="s">
        <v>15</v>
      </c>
      <c r="I897" t="s">
        <v>389</v>
      </c>
    </row>
    <row r="898" spans="1:9">
      <c r="A898" t="s">
        <v>138</v>
      </c>
      <c r="B898"/>
      <c r="C898">
        <v>0</v>
      </c>
      <c r="D898" t="s">
        <v>13</v>
      </c>
      <c r="E898" t="s">
        <v>83</v>
      </c>
      <c r="F898" t="s">
        <v>25</v>
      </c>
      <c r="H898" t="s">
        <v>15</v>
      </c>
      <c r="I898" t="s">
        <v>390</v>
      </c>
    </row>
    <row r="899" spans="1:9">
      <c r="A899" t="s">
        <v>140</v>
      </c>
      <c r="B899"/>
      <c r="C899">
        <v>8.1500000000000002E-5</v>
      </c>
      <c r="D899" t="s">
        <v>13</v>
      </c>
      <c r="E899" t="s">
        <v>83</v>
      </c>
      <c r="F899" t="s">
        <v>109</v>
      </c>
      <c r="H899" t="s">
        <v>15</v>
      </c>
      <c r="I899" t="s">
        <v>55</v>
      </c>
    </row>
    <row r="900" spans="1:9">
      <c r="A900" t="s">
        <v>391</v>
      </c>
      <c r="B900"/>
      <c r="C900">
        <v>8.9400000000000008E-6</v>
      </c>
      <c r="D900" t="s">
        <v>13</v>
      </c>
      <c r="E900" t="s">
        <v>83</v>
      </c>
      <c r="F900" t="s">
        <v>109</v>
      </c>
      <c r="H900" t="s">
        <v>15</v>
      </c>
      <c r="I900" t="s">
        <v>55</v>
      </c>
    </row>
    <row r="901" spans="1:9">
      <c r="A901" t="s">
        <v>87</v>
      </c>
      <c r="B901"/>
      <c r="C901">
        <v>4.6900000000000002E-5</v>
      </c>
      <c r="D901" t="s">
        <v>13</v>
      </c>
      <c r="E901" t="s">
        <v>83</v>
      </c>
      <c r="F901" t="s">
        <v>109</v>
      </c>
      <c r="H901" t="s">
        <v>15</v>
      </c>
    </row>
    <row r="902" spans="1:9">
      <c r="A902" t="s">
        <v>392</v>
      </c>
      <c r="B902"/>
      <c r="C902">
        <v>1.2899999999999999E-6</v>
      </c>
      <c r="D902" t="s">
        <v>13</v>
      </c>
      <c r="E902" t="s">
        <v>83</v>
      </c>
      <c r="F902" t="s">
        <v>109</v>
      </c>
      <c r="H902" t="s">
        <v>15</v>
      </c>
      <c r="I902" t="s">
        <v>55</v>
      </c>
    </row>
    <row r="903" spans="1:9">
      <c r="A903" t="s">
        <v>385</v>
      </c>
      <c r="B903" t="s">
        <v>386</v>
      </c>
      <c r="C903">
        <v>1</v>
      </c>
      <c r="D903" t="s">
        <v>35</v>
      </c>
      <c r="G903" t="s">
        <v>28</v>
      </c>
      <c r="H903" t="s">
        <v>18</v>
      </c>
      <c r="I903" t="s">
        <v>55</v>
      </c>
    </row>
    <row r="904" spans="1:9">
      <c r="A904" t="s">
        <v>393</v>
      </c>
      <c r="B904"/>
      <c r="C904">
        <v>1.4500000000000001E-2</v>
      </c>
      <c r="D904" t="s">
        <v>35</v>
      </c>
      <c r="G904" t="s">
        <v>36</v>
      </c>
      <c r="H904" t="s">
        <v>12</v>
      </c>
      <c r="I904" t="s">
        <v>394</v>
      </c>
    </row>
    <row r="905" spans="1:9">
      <c r="A905" t="s">
        <v>395</v>
      </c>
      <c r="B905"/>
      <c r="C905">
        <v>4.7200000000000002E-11</v>
      </c>
      <c r="D905" t="s">
        <v>6</v>
      </c>
      <c r="G905" t="s">
        <v>36</v>
      </c>
      <c r="H905" t="s">
        <v>12</v>
      </c>
      <c r="I905" t="s">
        <v>396</v>
      </c>
    </row>
    <row r="906" spans="1:9">
      <c r="A906" t="s">
        <v>397</v>
      </c>
      <c r="B906" t="s">
        <v>399</v>
      </c>
      <c r="C906">
        <v>9.5E-4</v>
      </c>
      <c r="D906" t="s">
        <v>13</v>
      </c>
      <c r="G906" t="s">
        <v>36</v>
      </c>
      <c r="H906" t="s">
        <v>12</v>
      </c>
      <c r="I906" t="s">
        <v>398</v>
      </c>
    </row>
    <row r="907" spans="1:9">
      <c r="A907" t="s">
        <v>400</v>
      </c>
      <c r="B907" t="s">
        <v>402</v>
      </c>
      <c r="C907">
        <v>1.7399999999999999E-5</v>
      </c>
      <c r="D907" t="s">
        <v>35</v>
      </c>
      <c r="G907" t="s">
        <v>26</v>
      </c>
      <c r="H907" t="s">
        <v>12</v>
      </c>
      <c r="I907" t="s">
        <v>401</v>
      </c>
    </row>
    <row r="908" spans="1:9">
      <c r="A908" t="s">
        <v>403</v>
      </c>
      <c r="B908" t="s">
        <v>405</v>
      </c>
      <c r="C908">
        <v>5.7600000000000001E-4</v>
      </c>
      <c r="D908" t="s">
        <v>13</v>
      </c>
      <c r="G908" t="s">
        <v>26</v>
      </c>
      <c r="H908" t="s">
        <v>12</v>
      </c>
      <c r="I908" t="s">
        <v>404</v>
      </c>
    </row>
    <row r="909" spans="1:9">
      <c r="A909" t="s">
        <v>433</v>
      </c>
      <c r="B909" t="s">
        <v>432</v>
      </c>
      <c r="C909">
        <v>1.1600000000000001E-11</v>
      </c>
      <c r="D909" t="s">
        <v>13</v>
      </c>
      <c r="G909" t="s">
        <v>134</v>
      </c>
      <c r="H909" t="s">
        <v>12</v>
      </c>
      <c r="I909" t="s">
        <v>406</v>
      </c>
    </row>
    <row r="910" spans="1:9">
      <c r="A910" t="s">
        <v>186</v>
      </c>
      <c r="B910" t="s">
        <v>187</v>
      </c>
      <c r="C910">
        <v>5.3499999999999999E-4</v>
      </c>
      <c r="D910" t="s">
        <v>13</v>
      </c>
      <c r="G910" t="s">
        <v>96</v>
      </c>
      <c r="H910" t="s">
        <v>12</v>
      </c>
      <c r="I910" t="s">
        <v>407</v>
      </c>
    </row>
    <row r="911" spans="1:9">
      <c r="A911" t="s">
        <v>156</v>
      </c>
      <c r="B911" t="s">
        <v>157</v>
      </c>
      <c r="C911">
        <v>5.6100000000000004E-3</v>
      </c>
      <c r="D911" t="s">
        <v>158</v>
      </c>
      <c r="G911" t="s">
        <v>36</v>
      </c>
      <c r="H911" t="s">
        <v>12</v>
      </c>
      <c r="I911" t="s">
        <v>408</v>
      </c>
    </row>
    <row r="912" spans="1:9">
      <c r="A912" t="s">
        <v>156</v>
      </c>
      <c r="B912" t="s">
        <v>157</v>
      </c>
      <c r="C912">
        <v>2.7399999999999999E-4</v>
      </c>
      <c r="D912" t="s">
        <v>158</v>
      </c>
      <c r="G912" t="s">
        <v>36</v>
      </c>
      <c r="H912" t="s">
        <v>12</v>
      </c>
      <c r="I912" t="s">
        <v>409</v>
      </c>
    </row>
    <row r="913" spans="1:10">
      <c r="A913" t="s">
        <v>410</v>
      </c>
      <c r="B913" t="s">
        <v>412</v>
      </c>
      <c r="C913">
        <v>0.1020326</v>
      </c>
      <c r="D913" t="s">
        <v>13</v>
      </c>
      <c r="G913" t="s">
        <v>22</v>
      </c>
      <c r="H913" t="s">
        <v>12</v>
      </c>
      <c r="I913" t="s">
        <v>411</v>
      </c>
    </row>
    <row r="914" spans="1:10">
      <c r="A914" t="s">
        <v>326</v>
      </c>
      <c r="B914" t="s">
        <v>33</v>
      </c>
      <c r="C914">
        <v>1.77E-2</v>
      </c>
      <c r="D914" t="s">
        <v>19</v>
      </c>
      <c r="G914" t="s">
        <v>413</v>
      </c>
      <c r="H914" t="s">
        <v>12</v>
      </c>
      <c r="I914" t="s">
        <v>55</v>
      </c>
    </row>
    <row r="915" spans="1:10">
      <c r="A915" t="s">
        <v>436</v>
      </c>
      <c r="B915" t="s">
        <v>435</v>
      </c>
      <c r="C915">
        <v>1.1600000000000001E-11</v>
      </c>
      <c r="D915" t="s">
        <v>13</v>
      </c>
      <c r="G915" t="s">
        <v>414</v>
      </c>
      <c r="H915" t="s">
        <v>12</v>
      </c>
      <c r="I915" t="s">
        <v>406</v>
      </c>
    </row>
    <row r="916" spans="1:10">
      <c r="A916" t="s">
        <v>415</v>
      </c>
      <c r="B916" t="s">
        <v>417</v>
      </c>
      <c r="C916">
        <v>-2.0200000000000001E-3</v>
      </c>
      <c r="D916" t="s">
        <v>13</v>
      </c>
      <c r="G916" t="s">
        <v>26</v>
      </c>
      <c r="H916" t="s">
        <v>12</v>
      </c>
      <c r="I916" t="s">
        <v>416</v>
      </c>
    </row>
    <row r="917" spans="1:10">
      <c r="A917" t="s">
        <v>418</v>
      </c>
      <c r="B917" t="s">
        <v>420</v>
      </c>
      <c r="C917">
        <v>-1.1600000000000001E-11</v>
      </c>
      <c r="D917" t="s">
        <v>13</v>
      </c>
      <c r="G917" t="s">
        <v>26</v>
      </c>
      <c r="H917" t="s">
        <v>12</v>
      </c>
      <c r="I917" t="s">
        <v>419</v>
      </c>
    </row>
    <row r="918" spans="1:10">
      <c r="A918" t="s">
        <v>421</v>
      </c>
      <c r="B918" t="s">
        <v>423</v>
      </c>
      <c r="C918">
        <v>-1.1600000000000001E-11</v>
      </c>
      <c r="D918" t="s">
        <v>13</v>
      </c>
      <c r="G918" t="s">
        <v>26</v>
      </c>
      <c r="H918" t="s">
        <v>12</v>
      </c>
      <c r="I918" t="s">
        <v>422</v>
      </c>
    </row>
    <row r="919" spans="1:10">
      <c r="A919" t="s">
        <v>424</v>
      </c>
      <c r="B919" t="s">
        <v>426</v>
      </c>
      <c r="C919">
        <v>-5.63E-5</v>
      </c>
      <c r="D919" t="s">
        <v>13</v>
      </c>
      <c r="G919" t="s">
        <v>26</v>
      </c>
      <c r="H919" t="s">
        <v>12</v>
      </c>
      <c r="I919" t="s">
        <v>425</v>
      </c>
    </row>
    <row r="920" spans="1:10">
      <c r="A920" t="s">
        <v>427</v>
      </c>
      <c r="B920" t="s">
        <v>429</v>
      </c>
      <c r="C920">
        <v>-9.4499999999999998E-4</v>
      </c>
      <c r="D920" t="s">
        <v>13</v>
      </c>
      <c r="G920" t="s">
        <v>26</v>
      </c>
      <c r="H920" t="s">
        <v>12</v>
      </c>
      <c r="I920" t="s">
        <v>428</v>
      </c>
    </row>
    <row r="921" spans="1:10">
      <c r="A921" t="s">
        <v>434</v>
      </c>
      <c r="B921" t="s">
        <v>431</v>
      </c>
      <c r="C921">
        <v>6.28E-6</v>
      </c>
      <c r="D921" t="s">
        <v>13</v>
      </c>
      <c r="G921" t="s">
        <v>96</v>
      </c>
      <c r="H921" t="s">
        <v>12</v>
      </c>
      <c r="I921" t="s">
        <v>430</v>
      </c>
    </row>
    <row r="922" spans="1:10">
      <c r="A922" t="s">
        <v>387</v>
      </c>
      <c r="B922" t="s">
        <v>387</v>
      </c>
      <c r="C922" s="13">
        <v>0.15468000000000001</v>
      </c>
      <c r="D922" t="s">
        <v>13</v>
      </c>
      <c r="G922" t="s">
        <v>36</v>
      </c>
      <c r="H922" t="s">
        <v>12</v>
      </c>
    </row>
    <row r="923" spans="1:10">
      <c r="A923" s="49"/>
      <c r="B923" s="50"/>
      <c r="C923" s="49"/>
      <c r="D923" s="49"/>
      <c r="E923" s="49"/>
      <c r="F923" s="49"/>
      <c r="G923" s="49"/>
      <c r="H923" s="49"/>
      <c r="I923" s="49"/>
    </row>
    <row r="924" spans="1:10" ht="15.6">
      <c r="A924" s="18" t="s">
        <v>1</v>
      </c>
      <c r="B924" s="43" t="s">
        <v>441</v>
      </c>
    </row>
    <row r="925" spans="1:10">
      <c r="A925" s="24" t="s">
        <v>2</v>
      </c>
      <c r="B925" s="26" t="s">
        <v>28</v>
      </c>
      <c r="H925" s="55"/>
    </row>
    <row r="926" spans="1:10">
      <c r="A926" s="24" t="s">
        <v>3</v>
      </c>
      <c r="B926">
        <v>1</v>
      </c>
      <c r="F926" s="13"/>
      <c r="H926" s="13"/>
    </row>
    <row r="927" spans="1:10">
      <c r="A927" s="24" t="s">
        <v>4</v>
      </c>
      <c r="B927" t="s">
        <v>440</v>
      </c>
      <c r="F927" s="13"/>
      <c r="J927" s="56"/>
    </row>
    <row r="928" spans="1:10">
      <c r="A928" s="24" t="s">
        <v>5</v>
      </c>
      <c r="B928" t="s">
        <v>59</v>
      </c>
      <c r="F928" s="20"/>
    </row>
    <row r="929" spans="1:9">
      <c r="A929" s="24" t="s">
        <v>6</v>
      </c>
      <c r="B929" t="s">
        <v>35</v>
      </c>
    </row>
    <row r="930" spans="1:9">
      <c r="A930" s="24" t="s">
        <v>57</v>
      </c>
      <c r="B930" t="s">
        <v>233</v>
      </c>
    </row>
    <row r="931" spans="1:9" ht="15.6">
      <c r="A931" s="18" t="s">
        <v>7</v>
      </c>
      <c r="B931"/>
    </row>
    <row r="932" spans="1:9">
      <c r="A932" s="24" t="s">
        <v>8</v>
      </c>
      <c r="B932" s="27" t="s">
        <v>4</v>
      </c>
      <c r="C932" s="24" t="s">
        <v>9</v>
      </c>
      <c r="D932" s="24" t="s">
        <v>6</v>
      </c>
      <c r="E932" s="24" t="s">
        <v>81</v>
      </c>
      <c r="F932" s="24" t="s">
        <v>10</v>
      </c>
      <c r="G932" s="30" t="s">
        <v>2</v>
      </c>
      <c r="H932" s="24" t="s">
        <v>5</v>
      </c>
      <c r="I932" s="27" t="s">
        <v>11</v>
      </c>
    </row>
    <row r="933" spans="1:9">
      <c r="A933" t="s">
        <v>138</v>
      </c>
      <c r="B933"/>
      <c r="C933">
        <f>0.152-C934</f>
        <v>9.7280000000000005E-2</v>
      </c>
      <c r="D933" t="s">
        <v>13</v>
      </c>
      <c r="E933" t="s">
        <v>83</v>
      </c>
      <c r="F933" t="s">
        <v>25</v>
      </c>
      <c r="H933" t="s">
        <v>15</v>
      </c>
    </row>
    <row r="934" spans="1:9">
      <c r="A934" t="s">
        <v>32</v>
      </c>
      <c r="B934"/>
      <c r="C934">
        <f>0.152*0.36</f>
        <v>5.4719999999999998E-2</v>
      </c>
      <c r="D934" t="s">
        <v>13</v>
      </c>
      <c r="E934" t="s">
        <v>83</v>
      </c>
      <c r="F934" t="s">
        <v>25</v>
      </c>
      <c r="H934" t="s">
        <v>15</v>
      </c>
      <c r="I934" t="s">
        <v>442</v>
      </c>
    </row>
    <row r="935" spans="1:9">
      <c r="A935" t="s">
        <v>138</v>
      </c>
      <c r="B935"/>
      <c r="C935">
        <v>1.1100000000000001E-3</v>
      </c>
      <c r="D935" t="s">
        <v>13</v>
      </c>
      <c r="E935" t="s">
        <v>83</v>
      </c>
      <c r="F935" t="s">
        <v>25</v>
      </c>
      <c r="H935" t="s">
        <v>15</v>
      </c>
      <c r="I935" t="s">
        <v>389</v>
      </c>
    </row>
    <row r="936" spans="1:9">
      <c r="A936" t="s">
        <v>138</v>
      </c>
      <c r="B936"/>
      <c r="C936">
        <v>1.57E-3</v>
      </c>
      <c r="D936" t="s">
        <v>13</v>
      </c>
      <c r="E936" t="s">
        <v>83</v>
      </c>
      <c r="F936" t="s">
        <v>25</v>
      </c>
      <c r="H936" t="s">
        <v>15</v>
      </c>
      <c r="I936" t="s">
        <v>390</v>
      </c>
    </row>
    <row r="937" spans="1:9">
      <c r="A937" t="s">
        <v>140</v>
      </c>
      <c r="B937"/>
      <c r="C937">
        <v>8.1500000000000002E-5</v>
      </c>
      <c r="D937" t="s">
        <v>13</v>
      </c>
      <c r="E937" t="s">
        <v>83</v>
      </c>
      <c r="F937" t="s">
        <v>109</v>
      </c>
      <c r="H937" t="s">
        <v>15</v>
      </c>
      <c r="I937" t="s">
        <v>55</v>
      </c>
    </row>
    <row r="938" spans="1:9">
      <c r="A938" t="s">
        <v>391</v>
      </c>
      <c r="B938"/>
      <c r="C938">
        <v>8.9400000000000008E-6</v>
      </c>
      <c r="D938" t="s">
        <v>13</v>
      </c>
      <c r="E938" t="s">
        <v>83</v>
      </c>
      <c r="F938" t="s">
        <v>109</v>
      </c>
      <c r="H938" t="s">
        <v>15</v>
      </c>
      <c r="I938" t="s">
        <v>55</v>
      </c>
    </row>
    <row r="939" spans="1:9">
      <c r="A939" t="s">
        <v>87</v>
      </c>
      <c r="B939"/>
      <c r="C939">
        <v>4.6900000000000002E-5</v>
      </c>
      <c r="D939" t="s">
        <v>13</v>
      </c>
      <c r="E939" t="s">
        <v>83</v>
      </c>
      <c r="F939" t="s">
        <v>109</v>
      </c>
      <c r="H939" t="s">
        <v>15</v>
      </c>
    </row>
    <row r="940" spans="1:9">
      <c r="A940" t="s">
        <v>392</v>
      </c>
      <c r="B940"/>
      <c r="C940">
        <v>1.2899999999999999E-6</v>
      </c>
      <c r="D940" t="s">
        <v>13</v>
      </c>
      <c r="E940" t="s">
        <v>83</v>
      </c>
      <c r="F940" t="s">
        <v>109</v>
      </c>
      <c r="H940" t="s">
        <v>15</v>
      </c>
      <c r="I940" t="s">
        <v>55</v>
      </c>
    </row>
    <row r="941" spans="1:9">
      <c r="A941" t="s">
        <v>441</v>
      </c>
      <c r="B941" t="s">
        <v>440</v>
      </c>
      <c r="C941">
        <v>1</v>
      </c>
      <c r="D941" t="s">
        <v>35</v>
      </c>
      <c r="G941" t="s">
        <v>28</v>
      </c>
      <c r="H941" t="s">
        <v>18</v>
      </c>
      <c r="I941" t="s">
        <v>55</v>
      </c>
    </row>
    <row r="942" spans="1:9">
      <c r="A942" t="s">
        <v>393</v>
      </c>
      <c r="B942"/>
      <c r="C942">
        <v>1.4500000000000001E-2</v>
      </c>
      <c r="D942" t="s">
        <v>35</v>
      </c>
      <c r="G942" t="s">
        <v>36</v>
      </c>
      <c r="H942" t="s">
        <v>12</v>
      </c>
      <c r="I942" t="s">
        <v>394</v>
      </c>
    </row>
    <row r="943" spans="1:9">
      <c r="A943" t="s">
        <v>395</v>
      </c>
      <c r="B943"/>
      <c r="C943">
        <v>4.7200000000000002E-11</v>
      </c>
      <c r="D943" t="s">
        <v>6</v>
      </c>
      <c r="G943" t="s">
        <v>36</v>
      </c>
      <c r="H943" t="s">
        <v>12</v>
      </c>
      <c r="I943" t="s">
        <v>396</v>
      </c>
    </row>
    <row r="944" spans="1:9">
      <c r="A944" t="s">
        <v>397</v>
      </c>
      <c r="B944" t="s">
        <v>399</v>
      </c>
      <c r="C944">
        <v>9.5E-4</v>
      </c>
      <c r="D944" t="s">
        <v>13</v>
      </c>
      <c r="G944" t="s">
        <v>36</v>
      </c>
      <c r="H944" t="s">
        <v>12</v>
      </c>
      <c r="I944" t="s">
        <v>398</v>
      </c>
    </row>
    <row r="945" spans="1:9">
      <c r="A945" t="s">
        <v>400</v>
      </c>
      <c r="B945" t="s">
        <v>402</v>
      </c>
      <c r="C945">
        <v>1.7399999999999999E-5</v>
      </c>
      <c r="D945" t="s">
        <v>35</v>
      </c>
      <c r="G945" t="s">
        <v>26</v>
      </c>
      <c r="H945" t="s">
        <v>12</v>
      </c>
      <c r="I945" t="s">
        <v>401</v>
      </c>
    </row>
    <row r="946" spans="1:9">
      <c r="A946" t="s">
        <v>403</v>
      </c>
      <c r="B946" t="s">
        <v>405</v>
      </c>
      <c r="C946">
        <v>5.7600000000000001E-4</v>
      </c>
      <c r="D946" t="s">
        <v>13</v>
      </c>
      <c r="G946" t="s">
        <v>26</v>
      </c>
      <c r="H946" t="s">
        <v>12</v>
      </c>
      <c r="I946" t="s">
        <v>404</v>
      </c>
    </row>
    <row r="947" spans="1:9">
      <c r="A947" t="s">
        <v>433</v>
      </c>
      <c r="B947" t="s">
        <v>432</v>
      </c>
      <c r="C947">
        <v>1.1600000000000001E-11</v>
      </c>
      <c r="D947" t="s">
        <v>13</v>
      </c>
      <c r="G947" t="s">
        <v>134</v>
      </c>
      <c r="H947" t="s">
        <v>12</v>
      </c>
      <c r="I947" t="s">
        <v>406</v>
      </c>
    </row>
    <row r="948" spans="1:9">
      <c r="A948" t="s">
        <v>186</v>
      </c>
      <c r="B948" t="s">
        <v>187</v>
      </c>
      <c r="C948">
        <v>5.3499999999999999E-4</v>
      </c>
      <c r="D948" t="s">
        <v>13</v>
      </c>
      <c r="G948" t="s">
        <v>96</v>
      </c>
      <c r="H948" t="s">
        <v>12</v>
      </c>
      <c r="I948" t="s">
        <v>407</v>
      </c>
    </row>
    <row r="949" spans="1:9">
      <c r="A949" t="s">
        <v>156</v>
      </c>
      <c r="B949" t="s">
        <v>157</v>
      </c>
      <c r="C949">
        <v>5.6100000000000004E-3</v>
      </c>
      <c r="D949" t="s">
        <v>158</v>
      </c>
      <c r="G949" t="s">
        <v>36</v>
      </c>
      <c r="H949" t="s">
        <v>12</v>
      </c>
      <c r="I949" t="s">
        <v>408</v>
      </c>
    </row>
    <row r="950" spans="1:9">
      <c r="A950" t="s">
        <v>156</v>
      </c>
      <c r="B950" t="s">
        <v>157</v>
      </c>
      <c r="C950">
        <v>2.7399999999999999E-4</v>
      </c>
      <c r="D950" t="s">
        <v>158</v>
      </c>
      <c r="G950" t="s">
        <v>36</v>
      </c>
      <c r="H950" t="s">
        <v>12</v>
      </c>
      <c r="I950" t="s">
        <v>409</v>
      </c>
    </row>
    <row r="951" spans="1:9">
      <c r="A951" s="31" t="s">
        <v>443</v>
      </c>
      <c r="B951" s="31" t="s">
        <v>384</v>
      </c>
      <c r="C951">
        <v>0.1020326</v>
      </c>
      <c r="D951" t="s">
        <v>13</v>
      </c>
      <c r="G951" s="31" t="s">
        <v>28</v>
      </c>
      <c r="H951" t="s">
        <v>12</v>
      </c>
      <c r="I951" t="s">
        <v>439</v>
      </c>
    </row>
    <row r="952" spans="1:9">
      <c r="A952" t="s">
        <v>326</v>
      </c>
      <c r="B952" t="s">
        <v>33</v>
      </c>
      <c r="C952">
        <v>1.77E-2</v>
      </c>
      <c r="D952" t="s">
        <v>19</v>
      </c>
      <c r="G952" t="s">
        <v>413</v>
      </c>
      <c r="H952" t="s">
        <v>12</v>
      </c>
      <c r="I952" t="s">
        <v>55</v>
      </c>
    </row>
    <row r="953" spans="1:9">
      <c r="A953" t="s">
        <v>436</v>
      </c>
      <c r="B953" t="s">
        <v>435</v>
      </c>
      <c r="C953">
        <v>1.1600000000000001E-11</v>
      </c>
      <c r="D953" t="s">
        <v>13</v>
      </c>
      <c r="G953" t="s">
        <v>414</v>
      </c>
      <c r="H953" t="s">
        <v>12</v>
      </c>
      <c r="I953" t="s">
        <v>406</v>
      </c>
    </row>
    <row r="954" spans="1:9">
      <c r="A954" t="s">
        <v>415</v>
      </c>
      <c r="B954" t="s">
        <v>417</v>
      </c>
      <c r="C954">
        <v>-2.0200000000000001E-3</v>
      </c>
      <c r="D954" t="s">
        <v>13</v>
      </c>
      <c r="G954" t="s">
        <v>26</v>
      </c>
      <c r="H954" t="s">
        <v>12</v>
      </c>
      <c r="I954" t="s">
        <v>416</v>
      </c>
    </row>
    <row r="955" spans="1:9">
      <c r="A955" t="s">
        <v>418</v>
      </c>
      <c r="B955" t="s">
        <v>420</v>
      </c>
      <c r="C955">
        <v>-1.1600000000000001E-11</v>
      </c>
      <c r="D955" t="s">
        <v>13</v>
      </c>
      <c r="G955" t="s">
        <v>26</v>
      </c>
      <c r="H955" t="s">
        <v>12</v>
      </c>
      <c r="I955" t="s">
        <v>419</v>
      </c>
    </row>
    <row r="956" spans="1:9">
      <c r="A956" t="s">
        <v>421</v>
      </c>
      <c r="B956" t="s">
        <v>423</v>
      </c>
      <c r="C956">
        <v>-1.1600000000000001E-11</v>
      </c>
      <c r="D956" t="s">
        <v>13</v>
      </c>
      <c r="G956" t="s">
        <v>26</v>
      </c>
      <c r="H956" t="s">
        <v>12</v>
      </c>
      <c r="I956" t="s">
        <v>422</v>
      </c>
    </row>
    <row r="957" spans="1:9">
      <c r="A957" t="s">
        <v>424</v>
      </c>
      <c r="B957" t="s">
        <v>426</v>
      </c>
      <c r="C957">
        <v>-5.63E-5</v>
      </c>
      <c r="D957" t="s">
        <v>13</v>
      </c>
      <c r="G957" t="s">
        <v>26</v>
      </c>
      <c r="H957" t="s">
        <v>12</v>
      </c>
      <c r="I957" t="s">
        <v>425</v>
      </c>
    </row>
    <row r="958" spans="1:9">
      <c r="A958" t="s">
        <v>427</v>
      </c>
      <c r="B958" t="s">
        <v>429</v>
      </c>
      <c r="C958">
        <v>-9.4499999999999998E-4</v>
      </c>
      <c r="D958" t="s">
        <v>13</v>
      </c>
      <c r="G958" t="s">
        <v>26</v>
      </c>
      <c r="H958" t="s">
        <v>12</v>
      </c>
      <c r="I958" t="s">
        <v>428</v>
      </c>
    </row>
    <row r="959" spans="1:9">
      <c r="A959" t="s">
        <v>434</v>
      </c>
      <c r="B959" t="s">
        <v>431</v>
      </c>
      <c r="C959">
        <v>6.28E-6</v>
      </c>
      <c r="D959" t="s">
        <v>13</v>
      </c>
      <c r="G959" t="s">
        <v>96</v>
      </c>
      <c r="H959" t="s">
        <v>12</v>
      </c>
      <c r="I959" t="s">
        <v>430</v>
      </c>
    </row>
    <row r="960" spans="1:9">
      <c r="A960" s="49"/>
      <c r="B960" s="50"/>
      <c r="C960" s="49"/>
      <c r="D960" s="49"/>
      <c r="E960" s="49"/>
      <c r="F960" s="49"/>
      <c r="G960" s="49"/>
      <c r="H960" s="49"/>
      <c r="I960" s="49"/>
    </row>
    <row r="961" spans="1:10" ht="15.6">
      <c r="A961" s="18" t="s">
        <v>1</v>
      </c>
      <c r="B961" s="43" t="s">
        <v>444</v>
      </c>
    </row>
    <row r="962" spans="1:10">
      <c r="A962" s="24" t="s">
        <v>2</v>
      </c>
      <c r="B962" s="26" t="s">
        <v>28</v>
      </c>
      <c r="H962" s="55"/>
    </row>
    <row r="963" spans="1:10">
      <c r="A963" s="24" t="s">
        <v>3</v>
      </c>
      <c r="B963">
        <v>1</v>
      </c>
      <c r="F963" s="13"/>
      <c r="H963" s="13"/>
    </row>
    <row r="964" spans="1:10">
      <c r="A964" s="24" t="s">
        <v>4</v>
      </c>
      <c r="B964" t="s">
        <v>445</v>
      </c>
      <c r="F964" s="13"/>
      <c r="J964" s="56"/>
    </row>
    <row r="965" spans="1:10">
      <c r="A965" s="24" t="s">
        <v>5</v>
      </c>
      <c r="B965" t="s">
        <v>59</v>
      </c>
      <c r="F965" s="20"/>
    </row>
    <row r="966" spans="1:10">
      <c r="A966" s="24" t="s">
        <v>6</v>
      </c>
      <c r="B966" t="s">
        <v>13</v>
      </c>
    </row>
    <row r="967" spans="1:10">
      <c r="A967" s="24" t="s">
        <v>57</v>
      </c>
      <c r="B967" t="s">
        <v>446</v>
      </c>
    </row>
    <row r="968" spans="1:10" ht="15.6">
      <c r="A968" s="18" t="s">
        <v>7</v>
      </c>
      <c r="B968" s="26"/>
      <c r="C968" s="25"/>
      <c r="D968" s="26"/>
      <c r="E968" s="26"/>
      <c r="F968" s="26"/>
      <c r="G968" s="26"/>
      <c r="H968" s="26"/>
      <c r="I968" s="26"/>
    </row>
    <row r="969" spans="1:10">
      <c r="A969" s="24" t="s">
        <v>8</v>
      </c>
      <c r="B969" s="24" t="s">
        <v>4</v>
      </c>
      <c r="C969" s="30" t="s">
        <v>9</v>
      </c>
      <c r="D969" s="24" t="s">
        <v>6</v>
      </c>
      <c r="E969" s="24" t="s">
        <v>81</v>
      </c>
      <c r="F969" s="24" t="s">
        <v>10</v>
      </c>
      <c r="G969" s="24" t="s">
        <v>2</v>
      </c>
      <c r="H969" s="24" t="s">
        <v>5</v>
      </c>
      <c r="I969" s="24" t="s">
        <v>11</v>
      </c>
    </row>
    <row r="970" spans="1:10">
      <c r="A970" s="31" t="s">
        <v>444</v>
      </c>
      <c r="B970" s="31" t="s">
        <v>445</v>
      </c>
      <c r="C970" s="26">
        <v>1</v>
      </c>
      <c r="D970" s="26" t="s">
        <v>13</v>
      </c>
      <c r="F970" s="24"/>
      <c r="G970" s="31" t="s">
        <v>28</v>
      </c>
      <c r="H970" t="s">
        <v>18</v>
      </c>
      <c r="I970" s="24"/>
    </row>
    <row r="971" spans="1:10">
      <c r="A971" s="26" t="s">
        <v>451</v>
      </c>
      <c r="B971" s="13" t="s">
        <v>452</v>
      </c>
      <c r="C971" s="41">
        <v>1.7509999999999999</v>
      </c>
      <c r="D971" s="26" t="s">
        <v>13</v>
      </c>
      <c r="G971" t="s">
        <v>96</v>
      </c>
      <c r="H971" t="s">
        <v>12</v>
      </c>
    </row>
    <row r="972" spans="1:10">
      <c r="A972" s="31" t="s">
        <v>30</v>
      </c>
      <c r="B972" s="31" t="s">
        <v>31</v>
      </c>
      <c r="C972">
        <v>4.779502986996028E-2</v>
      </c>
      <c r="D972" s="26" t="s">
        <v>13</v>
      </c>
      <c r="G972" s="31" t="s">
        <v>22</v>
      </c>
      <c r="H972" t="s">
        <v>12</v>
      </c>
    </row>
    <row r="973" spans="1:10">
      <c r="A973" s="31" t="s">
        <v>453</v>
      </c>
      <c r="B973" s="31" t="s">
        <v>454</v>
      </c>
      <c r="C973">
        <v>0.17513974577662458</v>
      </c>
      <c r="D973" s="26" t="s">
        <v>158</v>
      </c>
      <c r="G973" t="s">
        <v>36</v>
      </c>
      <c r="H973" t="s">
        <v>12</v>
      </c>
    </row>
    <row r="974" spans="1:10">
      <c r="A974" s="31" t="s">
        <v>34</v>
      </c>
      <c r="B974" s="31" t="s">
        <v>33</v>
      </c>
      <c r="C974">
        <v>2.29E-2</v>
      </c>
      <c r="D974" t="s">
        <v>19</v>
      </c>
      <c r="G974" t="s">
        <v>28</v>
      </c>
      <c r="H974" t="s">
        <v>12</v>
      </c>
    </row>
    <row r="975" spans="1:10">
      <c r="A975" s="58" t="s">
        <v>447</v>
      </c>
      <c r="B975" s="13" t="s">
        <v>448</v>
      </c>
      <c r="C975">
        <v>2E-3</v>
      </c>
      <c r="D975" s="26" t="s">
        <v>35</v>
      </c>
      <c r="G975" t="s">
        <v>28</v>
      </c>
      <c r="H975" t="s">
        <v>12</v>
      </c>
    </row>
    <row r="976" spans="1:10">
      <c r="A976" t="s">
        <v>449</v>
      </c>
      <c r="B976" s="13" t="s">
        <v>450</v>
      </c>
      <c r="C976">
        <v>-4.7795029869960301E-2</v>
      </c>
      <c r="D976" s="26" t="s">
        <v>91</v>
      </c>
      <c r="G976" t="s">
        <v>96</v>
      </c>
      <c r="H976" t="s">
        <v>12</v>
      </c>
    </row>
    <row r="977" spans="1:10">
      <c r="A977" t="s">
        <v>93</v>
      </c>
      <c r="C977" s="13">
        <v>0.75139745776624589</v>
      </c>
      <c r="D977" s="26" t="s">
        <v>91</v>
      </c>
      <c r="E977" t="s">
        <v>83</v>
      </c>
      <c r="F977" t="s">
        <v>25</v>
      </c>
      <c r="G977" s="13"/>
      <c r="H977" t="s">
        <v>15</v>
      </c>
    </row>
    <row r="978" spans="1:10">
      <c r="A978" s="49"/>
      <c r="B978" s="50"/>
      <c r="C978" s="49"/>
      <c r="D978" s="49"/>
      <c r="E978" s="49"/>
      <c r="F978" s="49"/>
      <c r="G978" s="49"/>
      <c r="H978" s="49"/>
      <c r="I978" s="49"/>
    </row>
    <row r="979" spans="1:10" ht="15.6">
      <c r="A979" s="18" t="s">
        <v>1</v>
      </c>
      <c r="B979" s="43" t="s">
        <v>455</v>
      </c>
    </row>
    <row r="980" spans="1:10">
      <c r="A980" s="24" t="s">
        <v>2</v>
      </c>
      <c r="B980" s="26" t="s">
        <v>28</v>
      </c>
      <c r="H980" s="55"/>
    </row>
    <row r="981" spans="1:10">
      <c r="A981" s="24" t="s">
        <v>3</v>
      </c>
      <c r="B981">
        <v>1</v>
      </c>
      <c r="F981" s="13"/>
      <c r="H981" s="13"/>
    </row>
    <row r="982" spans="1:10">
      <c r="A982" s="24" t="s">
        <v>4</v>
      </c>
      <c r="B982" t="s">
        <v>456</v>
      </c>
      <c r="F982" s="13"/>
      <c r="J982" s="56"/>
    </row>
    <row r="983" spans="1:10">
      <c r="A983" s="24" t="s">
        <v>5</v>
      </c>
      <c r="B983" t="s">
        <v>59</v>
      </c>
      <c r="F983" s="20"/>
    </row>
    <row r="984" spans="1:10">
      <c r="A984" s="24" t="s">
        <v>6</v>
      </c>
      <c r="B984" t="s">
        <v>13</v>
      </c>
    </row>
    <row r="985" spans="1:10">
      <c r="A985" s="24" t="s">
        <v>57</v>
      </c>
      <c r="B985" t="s">
        <v>459</v>
      </c>
    </row>
    <row r="986" spans="1:10" ht="15.6">
      <c r="A986" s="18" t="s">
        <v>7</v>
      </c>
      <c r="B986" s="26"/>
      <c r="C986" s="25"/>
      <c r="D986" s="26"/>
      <c r="E986" s="26"/>
      <c r="F986" s="26"/>
      <c r="G986" s="26"/>
      <c r="H986" s="26"/>
      <c r="I986" s="26"/>
    </row>
    <row r="987" spans="1:10">
      <c r="A987" s="24" t="s">
        <v>8</v>
      </c>
      <c r="B987" s="24" t="s">
        <v>4</v>
      </c>
      <c r="C987" s="30" t="s">
        <v>9</v>
      </c>
      <c r="D987" s="24" t="s">
        <v>6</v>
      </c>
      <c r="E987" s="24" t="s">
        <v>81</v>
      </c>
      <c r="F987" s="24" t="s">
        <v>10</v>
      </c>
      <c r="G987" s="24" t="s">
        <v>2</v>
      </c>
      <c r="H987" s="24" t="s">
        <v>5</v>
      </c>
      <c r="I987" s="24" t="s">
        <v>11</v>
      </c>
    </row>
    <row r="988" spans="1:10">
      <c r="A988" s="31" t="s">
        <v>455</v>
      </c>
      <c r="B988" s="31" t="s">
        <v>456</v>
      </c>
      <c r="C988" s="26">
        <v>1</v>
      </c>
      <c r="D988" s="26" t="s">
        <v>13</v>
      </c>
      <c r="F988" s="24"/>
      <c r="G988" s="31" t="s">
        <v>28</v>
      </c>
      <c r="H988" t="s">
        <v>18</v>
      </c>
      <c r="I988" s="24"/>
    </row>
    <row r="989" spans="1:10">
      <c r="A989" s="31" t="s">
        <v>444</v>
      </c>
      <c r="B989" s="31" t="s">
        <v>445</v>
      </c>
      <c r="C989" s="41">
        <v>1.02</v>
      </c>
      <c r="D989" s="26" t="s">
        <v>13</v>
      </c>
      <c r="G989" t="s">
        <v>28</v>
      </c>
      <c r="H989" t="s">
        <v>12</v>
      </c>
    </row>
    <row r="990" spans="1:10">
      <c r="A990" s="31" t="s">
        <v>30</v>
      </c>
      <c r="B990" s="31" t="s">
        <v>31</v>
      </c>
      <c r="C990">
        <v>0.02</v>
      </c>
      <c r="D990" s="26" t="s">
        <v>13</v>
      </c>
      <c r="G990" s="31" t="s">
        <v>22</v>
      </c>
      <c r="H990" t="s">
        <v>12</v>
      </c>
    </row>
    <row r="991" spans="1:10">
      <c r="A991" s="31" t="s">
        <v>458</v>
      </c>
      <c r="B991" s="31" t="s">
        <v>457</v>
      </c>
      <c r="C991">
        <v>7.6485543677358989E-4</v>
      </c>
      <c r="D991" s="26" t="s">
        <v>13</v>
      </c>
      <c r="G991" t="s">
        <v>96</v>
      </c>
      <c r="H991" t="s">
        <v>12</v>
      </c>
    </row>
    <row r="992" spans="1:10">
      <c r="A992" s="31" t="s">
        <v>220</v>
      </c>
      <c r="B992" s="31" t="s">
        <v>221</v>
      </c>
      <c r="C992">
        <v>1.4532253298698207E-3</v>
      </c>
      <c r="D992" s="26" t="s">
        <v>13</v>
      </c>
      <c r="G992" t="s">
        <v>96</v>
      </c>
      <c r="H992" t="s">
        <v>12</v>
      </c>
    </row>
    <row r="993" spans="1:10">
      <c r="A993" s="31" t="s">
        <v>34</v>
      </c>
      <c r="B993" s="31" t="s">
        <v>33</v>
      </c>
      <c r="C993">
        <v>0.01</v>
      </c>
      <c r="D993" t="s">
        <v>19</v>
      </c>
      <c r="G993" t="s">
        <v>28</v>
      </c>
      <c r="H993" t="s">
        <v>12</v>
      </c>
    </row>
    <row r="994" spans="1:10">
      <c r="A994" t="s">
        <v>460</v>
      </c>
      <c r="B994" s="13" t="s">
        <v>461</v>
      </c>
      <c r="C994">
        <v>-0.02</v>
      </c>
      <c r="D994" s="26" t="s">
        <v>91</v>
      </c>
      <c r="G994" s="31" t="s">
        <v>22</v>
      </c>
      <c r="H994" t="s">
        <v>12</v>
      </c>
    </row>
    <row r="995" spans="1:10">
      <c r="A995" s="49"/>
      <c r="B995" s="50"/>
      <c r="C995" s="49"/>
      <c r="D995" s="49"/>
      <c r="E995" s="49"/>
      <c r="F995" s="49"/>
      <c r="G995" s="49"/>
      <c r="H995" s="49"/>
      <c r="I995" s="49"/>
    </row>
    <row r="996" spans="1:10" ht="15.6">
      <c r="A996" s="18" t="s">
        <v>1</v>
      </c>
      <c r="B996" s="43" t="s">
        <v>466</v>
      </c>
    </row>
    <row r="997" spans="1:10">
      <c r="A997" s="24" t="s">
        <v>2</v>
      </c>
      <c r="B997" s="26" t="s">
        <v>28</v>
      </c>
      <c r="H997" s="55"/>
    </row>
    <row r="998" spans="1:10">
      <c r="A998" s="24" t="s">
        <v>3</v>
      </c>
      <c r="B998">
        <v>1</v>
      </c>
      <c r="F998" s="13"/>
      <c r="H998" s="13"/>
    </row>
    <row r="999" spans="1:10">
      <c r="A999" s="24" t="s">
        <v>4</v>
      </c>
      <c r="B999" s="43" t="s">
        <v>466</v>
      </c>
      <c r="F999" s="13"/>
      <c r="J999" s="56"/>
    </row>
    <row r="1000" spans="1:10">
      <c r="A1000" s="24" t="s">
        <v>5</v>
      </c>
      <c r="B1000" t="s">
        <v>59</v>
      </c>
      <c r="F1000" s="20"/>
    </row>
    <row r="1001" spans="1:10">
      <c r="A1001" s="24" t="s">
        <v>6</v>
      </c>
      <c r="B1001" t="s">
        <v>13</v>
      </c>
    </row>
    <row r="1002" spans="1:10">
      <c r="A1002" s="24" t="s">
        <v>57</v>
      </c>
      <c r="B1002" t="s">
        <v>464</v>
      </c>
    </row>
    <row r="1003" spans="1:10" ht="15.6">
      <c r="A1003" s="18" t="s">
        <v>7</v>
      </c>
      <c r="B1003" s="26"/>
      <c r="C1003" s="25"/>
      <c r="D1003" s="26"/>
      <c r="E1003" s="26"/>
      <c r="F1003" s="26"/>
      <c r="G1003" s="26"/>
      <c r="H1003" s="26"/>
      <c r="I1003" s="26"/>
    </row>
    <row r="1004" spans="1:10">
      <c r="A1004" s="24" t="s">
        <v>8</v>
      </c>
      <c r="B1004" s="24" t="s">
        <v>4</v>
      </c>
      <c r="C1004" s="30" t="s">
        <v>9</v>
      </c>
      <c r="D1004" s="24" t="s">
        <v>6</v>
      </c>
      <c r="E1004" s="24" t="s">
        <v>81</v>
      </c>
      <c r="F1004" s="24" t="s">
        <v>10</v>
      </c>
      <c r="G1004" s="24" t="s">
        <v>2</v>
      </c>
      <c r="H1004" s="24" t="s">
        <v>5</v>
      </c>
      <c r="I1004" s="24" t="s">
        <v>11</v>
      </c>
    </row>
    <row r="1005" spans="1:10">
      <c r="A1005" s="31" t="s">
        <v>466</v>
      </c>
      <c r="B1005" s="31" t="s">
        <v>466</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447</v>
      </c>
      <c r="B1007" s="13" t="s">
        <v>448</v>
      </c>
      <c r="C1007">
        <v>5.8150000000000004</v>
      </c>
      <c r="D1007" s="26" t="s">
        <v>35</v>
      </c>
      <c r="G1007" t="s">
        <v>28</v>
      </c>
      <c r="H1007" t="s">
        <v>12</v>
      </c>
    </row>
    <row r="1008" spans="1:10">
      <c r="A1008" t="s">
        <v>467</v>
      </c>
      <c r="B1008" s="13" t="s">
        <v>468</v>
      </c>
      <c r="C1008" s="13">
        <v>1.2333333333333333E-2</v>
      </c>
      <c r="D1008" s="26" t="s">
        <v>13</v>
      </c>
      <c r="G1008" s="13" t="s">
        <v>96</v>
      </c>
      <c r="H1008" t="s">
        <v>12</v>
      </c>
    </row>
    <row r="1009" spans="1:10">
      <c r="A1009" t="s">
        <v>433</v>
      </c>
      <c r="B1009" s="13" t="s">
        <v>432</v>
      </c>
      <c r="C1009" s="13">
        <v>0.98766666666666669</v>
      </c>
      <c r="D1009" s="26" t="s">
        <v>13</v>
      </c>
      <c r="G1009" s="13" t="s">
        <v>475</v>
      </c>
      <c r="H1009" t="s">
        <v>12</v>
      </c>
    </row>
    <row r="1010" spans="1:10">
      <c r="A1010" s="31" t="s">
        <v>469</v>
      </c>
      <c r="B1010" s="13" t="s">
        <v>470</v>
      </c>
      <c r="C1010" s="13">
        <v>0.04</v>
      </c>
      <c r="D1010" s="26" t="s">
        <v>13</v>
      </c>
      <c r="G1010" s="13" t="s">
        <v>471</v>
      </c>
      <c r="H1010" t="s">
        <v>12</v>
      </c>
    </row>
    <row r="1011" spans="1:10">
      <c r="A1011" s="31" t="s">
        <v>220</v>
      </c>
      <c r="B1011" s="31" t="s">
        <v>221</v>
      </c>
      <c r="C1011" s="13">
        <v>8.3000000000000004E-2</v>
      </c>
      <c r="D1011" s="26" t="s">
        <v>13</v>
      </c>
      <c r="G1011" t="s">
        <v>96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6">
      <c r="A1014" s="18" t="s">
        <v>1</v>
      </c>
      <c r="B1014" s="43" t="s">
        <v>462</v>
      </c>
    </row>
    <row r="1015" spans="1:10">
      <c r="A1015" s="24" t="s">
        <v>2</v>
      </c>
      <c r="B1015" s="26" t="s">
        <v>28</v>
      </c>
      <c r="H1015" s="55"/>
    </row>
    <row r="1016" spans="1:10">
      <c r="A1016" s="24" t="s">
        <v>3</v>
      </c>
      <c r="B1016">
        <v>1</v>
      </c>
      <c r="F1016" s="13"/>
      <c r="H1016" s="13"/>
    </row>
    <row r="1017" spans="1:10">
      <c r="A1017" s="24" t="s">
        <v>4</v>
      </c>
      <c r="B1017" t="s">
        <v>463</v>
      </c>
      <c r="F1017" s="13"/>
      <c r="J1017" s="56"/>
    </row>
    <row r="1018" spans="1:10">
      <c r="A1018" s="24" t="s">
        <v>5</v>
      </c>
      <c r="B1018" t="s">
        <v>59</v>
      </c>
      <c r="F1018" s="20"/>
    </row>
    <row r="1019" spans="1:10">
      <c r="A1019" s="24" t="s">
        <v>6</v>
      </c>
      <c r="B1019" t="s">
        <v>13</v>
      </c>
    </row>
    <row r="1020" spans="1:10">
      <c r="A1020" s="24" t="s">
        <v>57</v>
      </c>
      <c r="B1020" t="s">
        <v>464</v>
      </c>
    </row>
    <row r="1021" spans="1:10" ht="15.6">
      <c r="A1021" s="18" t="s">
        <v>7</v>
      </c>
      <c r="B1021" s="26"/>
      <c r="C1021" s="25"/>
      <c r="D1021" s="26"/>
      <c r="E1021" s="26"/>
      <c r="F1021" s="26"/>
      <c r="G1021" s="26"/>
      <c r="H1021" s="26"/>
      <c r="I1021" s="26"/>
    </row>
    <row r="1022" spans="1:10">
      <c r="A1022" s="24" t="s">
        <v>8</v>
      </c>
      <c r="B1022" s="24" t="s">
        <v>4</v>
      </c>
      <c r="C1022" s="30" t="s">
        <v>9</v>
      </c>
      <c r="D1022" s="24" t="s">
        <v>6</v>
      </c>
      <c r="E1022" s="24" t="s">
        <v>81</v>
      </c>
      <c r="F1022" s="24" t="s">
        <v>10</v>
      </c>
      <c r="G1022" s="24" t="s">
        <v>2</v>
      </c>
      <c r="H1022" s="24" t="s">
        <v>5</v>
      </c>
      <c r="I1022" s="24" t="s">
        <v>11</v>
      </c>
    </row>
    <row r="1023" spans="1:10">
      <c r="A1023" s="31" t="s">
        <v>462</v>
      </c>
      <c r="B1023" s="31" t="s">
        <v>463</v>
      </c>
      <c r="C1023" s="26">
        <v>1</v>
      </c>
      <c r="D1023" s="26" t="s">
        <v>13</v>
      </c>
      <c r="F1023" s="24"/>
      <c r="G1023" s="31" t="s">
        <v>28</v>
      </c>
      <c r="H1023" t="s">
        <v>18</v>
      </c>
      <c r="I1023" s="24"/>
    </row>
    <row r="1024" spans="1:10">
      <c r="A1024" s="31" t="s">
        <v>455</v>
      </c>
      <c r="B1024" s="31" t="s">
        <v>456</v>
      </c>
      <c r="C1024" s="41">
        <v>1.35</v>
      </c>
      <c r="D1024" s="26" t="s">
        <v>13</v>
      </c>
      <c r="G1024" t="s">
        <v>28</v>
      </c>
      <c r="H1024" t="s">
        <v>12</v>
      </c>
    </row>
    <row r="1025" spans="1:10">
      <c r="A1025" s="31" t="s">
        <v>30</v>
      </c>
      <c r="B1025" s="31" t="s">
        <v>31</v>
      </c>
      <c r="C1025">
        <v>0.02</v>
      </c>
      <c r="D1025" s="26" t="s">
        <v>13</v>
      </c>
      <c r="G1025" s="31" t="s">
        <v>22</v>
      </c>
      <c r="H1025" t="s">
        <v>12</v>
      </c>
    </row>
    <row r="1026" spans="1:10">
      <c r="A1026" s="31" t="s">
        <v>100</v>
      </c>
      <c r="B1026" t="s">
        <v>38</v>
      </c>
      <c r="C1026">
        <v>3.8444917129434458E-2</v>
      </c>
      <c r="D1026" s="26" t="s">
        <v>13</v>
      </c>
      <c r="G1026" t="s">
        <v>28</v>
      </c>
      <c r="H1026" t="s">
        <v>12</v>
      </c>
    </row>
    <row r="1027" spans="1:10">
      <c r="A1027" s="31" t="s">
        <v>466</v>
      </c>
      <c r="B1027" s="31" t="s">
        <v>466</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447</v>
      </c>
      <c r="B1029" s="13" t="s">
        <v>448</v>
      </c>
      <c r="C1029">
        <v>4.17</v>
      </c>
      <c r="D1029" s="26" t="s">
        <v>35</v>
      </c>
      <c r="G1029" t="s">
        <v>28</v>
      </c>
      <c r="H1029" t="s">
        <v>12</v>
      </c>
    </row>
    <row r="1030" spans="1:10">
      <c r="A1030" t="s">
        <v>138</v>
      </c>
      <c r="C1030" s="13">
        <v>0.16600000000000001</v>
      </c>
      <c r="D1030" s="26" t="s">
        <v>13</v>
      </c>
      <c r="E1030" t="s">
        <v>83</v>
      </c>
      <c r="F1030" t="s">
        <v>109</v>
      </c>
      <c r="G1030" s="13"/>
      <c r="H1030" t="s">
        <v>15</v>
      </c>
    </row>
    <row r="1031" spans="1:10">
      <c r="A1031" s="31" t="s">
        <v>140</v>
      </c>
      <c r="C1031" s="13">
        <v>2.3E-2</v>
      </c>
      <c r="D1031" s="26" t="s">
        <v>13</v>
      </c>
      <c r="E1031" t="s">
        <v>83</v>
      </c>
      <c r="F1031" t="s">
        <v>109</v>
      </c>
      <c r="G1031" s="13"/>
      <c r="H1031" t="s">
        <v>15</v>
      </c>
    </row>
    <row r="1032" spans="1:10">
      <c r="A1032" t="s">
        <v>93</v>
      </c>
      <c r="C1032" s="13">
        <v>0.13200000000000001</v>
      </c>
      <c r="D1032" s="26" t="s">
        <v>91</v>
      </c>
      <c r="E1032" t="s">
        <v>83</v>
      </c>
      <c r="F1032" t="s">
        <v>25</v>
      </c>
      <c r="G1032" s="13"/>
      <c r="H1032" t="s">
        <v>15</v>
      </c>
    </row>
    <row r="1033" spans="1:10">
      <c r="A1033" t="s">
        <v>465</v>
      </c>
      <c r="C1033" s="13">
        <v>4.0000000000000001E-3</v>
      </c>
      <c r="D1033" s="26" t="s">
        <v>13</v>
      </c>
      <c r="E1033" t="s">
        <v>83</v>
      </c>
      <c r="F1033" t="s">
        <v>25</v>
      </c>
      <c r="G1033" s="13"/>
      <c r="H1033" t="s">
        <v>15</v>
      </c>
    </row>
    <row r="1034" spans="1:10">
      <c r="A1034" s="49"/>
      <c r="B1034" s="50"/>
      <c r="C1034" s="49"/>
      <c r="D1034" s="49"/>
      <c r="E1034" s="49"/>
      <c r="F1034" s="49"/>
      <c r="G1034" s="49"/>
      <c r="H1034" s="49"/>
      <c r="I1034" s="49"/>
    </row>
    <row r="1035" spans="1:10" ht="15.6">
      <c r="A1035" s="18" t="s">
        <v>1</v>
      </c>
      <c r="B1035" s="43" t="s">
        <v>472</v>
      </c>
    </row>
    <row r="1036" spans="1:10">
      <c r="A1036" s="24" t="s">
        <v>2</v>
      </c>
      <c r="B1036" s="26" t="s">
        <v>28</v>
      </c>
      <c r="H1036" s="55"/>
    </row>
    <row r="1037" spans="1:10">
      <c r="A1037" s="24" t="s">
        <v>3</v>
      </c>
      <c r="B1037">
        <v>1</v>
      </c>
      <c r="F1037" s="13"/>
      <c r="H1037" s="13"/>
    </row>
    <row r="1038" spans="1:10">
      <c r="A1038" s="24" t="s">
        <v>4</v>
      </c>
      <c r="B1038" t="s">
        <v>473</v>
      </c>
      <c r="F1038" s="13"/>
      <c r="J1038" s="56"/>
    </row>
    <row r="1039" spans="1:10">
      <c r="A1039" s="24" t="s">
        <v>5</v>
      </c>
      <c r="B1039" t="s">
        <v>59</v>
      </c>
      <c r="F1039" s="20"/>
    </row>
    <row r="1040" spans="1:10">
      <c r="A1040" s="24" t="s">
        <v>6</v>
      </c>
      <c r="B1040" t="s">
        <v>13</v>
      </c>
    </row>
    <row r="1041" spans="1:9">
      <c r="A1041" s="24" t="s">
        <v>57</v>
      </c>
      <c r="B1041" t="s">
        <v>464</v>
      </c>
    </row>
    <row r="1042" spans="1:9" ht="15.6">
      <c r="A1042" s="18" t="s">
        <v>7</v>
      </c>
      <c r="B1042" s="26"/>
      <c r="C1042" s="25"/>
      <c r="D1042" s="26"/>
      <c r="E1042" s="26"/>
      <c r="F1042" s="26"/>
      <c r="G1042" s="26"/>
      <c r="H1042" s="26"/>
      <c r="I1042" s="26"/>
    </row>
    <row r="1043" spans="1:9">
      <c r="A1043" s="24" t="s">
        <v>8</v>
      </c>
      <c r="B1043" s="24" t="s">
        <v>4</v>
      </c>
      <c r="C1043" s="30" t="s">
        <v>9</v>
      </c>
      <c r="D1043" s="24" t="s">
        <v>6</v>
      </c>
      <c r="E1043" s="24" t="s">
        <v>81</v>
      </c>
      <c r="F1043" s="24" t="s">
        <v>10</v>
      </c>
      <c r="G1043" s="24" t="s">
        <v>2</v>
      </c>
      <c r="H1043" s="24" t="s">
        <v>5</v>
      </c>
      <c r="I1043" s="24" t="s">
        <v>11</v>
      </c>
    </row>
    <row r="1044" spans="1:9">
      <c r="A1044" s="31" t="s">
        <v>472</v>
      </c>
      <c r="B1044" t="s">
        <v>473</v>
      </c>
      <c r="C1044" s="26">
        <v>1</v>
      </c>
      <c r="D1044" s="26" t="s">
        <v>13</v>
      </c>
      <c r="F1044" s="24"/>
      <c r="G1044" s="31" t="s">
        <v>28</v>
      </c>
      <c r="H1044" t="s">
        <v>18</v>
      </c>
      <c r="I1044" s="26" t="s">
        <v>474</v>
      </c>
    </row>
    <row r="1045" spans="1:9">
      <c r="A1045" s="31" t="s">
        <v>462</v>
      </c>
      <c r="B1045" s="31" t="s">
        <v>463</v>
      </c>
      <c r="C1045" s="41">
        <v>1.9251563934282565</v>
      </c>
      <c r="D1045" s="26" t="s">
        <v>13</v>
      </c>
      <c r="G1045" t="s">
        <v>28</v>
      </c>
      <c r="H1045" t="s">
        <v>12</v>
      </c>
    </row>
    <row r="1046" spans="1:9">
      <c r="A1046" s="31" t="s">
        <v>100</v>
      </c>
      <c r="B1046" t="s">
        <v>38</v>
      </c>
      <c r="C1046">
        <v>1.2513516557283666E-2</v>
      </c>
      <c r="D1046" s="26" t="s">
        <v>13</v>
      </c>
      <c r="G1046" t="s">
        <v>28</v>
      </c>
      <c r="H1046" t="s">
        <v>12</v>
      </c>
    </row>
    <row r="1047" spans="1:9">
      <c r="A1047" s="31" t="s">
        <v>466</v>
      </c>
      <c r="B1047" s="31" t="s">
        <v>466</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447</v>
      </c>
      <c r="B1049" s="13" t="s">
        <v>448</v>
      </c>
      <c r="C1049">
        <v>8.0279021605958292</v>
      </c>
      <c r="D1049" s="26" t="s">
        <v>35</v>
      </c>
      <c r="G1049" t="s">
        <v>28</v>
      </c>
      <c r="H1049" t="s">
        <v>12</v>
      </c>
    </row>
    <row r="1050" spans="1:9">
      <c r="A1050" t="s">
        <v>138</v>
      </c>
      <c r="C1050" s="13">
        <v>3.7649468801674725E-2</v>
      </c>
      <c r="D1050" s="26" t="s">
        <v>13</v>
      </c>
      <c r="E1050" t="s">
        <v>83</v>
      </c>
      <c r="F1050" t="s">
        <v>109</v>
      </c>
      <c r="G1050" s="13"/>
      <c r="H1050" t="s">
        <v>15</v>
      </c>
    </row>
    <row r="1051" spans="1:9">
      <c r="A1051" s="31" t="s">
        <v>140</v>
      </c>
      <c r="C1051" s="13">
        <v>1.3022194842719922E-3</v>
      </c>
      <c r="D1051" s="26" t="s">
        <v>13</v>
      </c>
      <c r="E1051" t="s">
        <v>83</v>
      </c>
      <c r="F1051" t="s">
        <v>109</v>
      </c>
      <c r="G1051" s="13"/>
      <c r="H1051" t="s">
        <v>15</v>
      </c>
    </row>
    <row r="1052" spans="1:9">
      <c r="A1052" t="s">
        <v>93</v>
      </c>
      <c r="C1052" s="13">
        <v>2.9173775990772428E-2</v>
      </c>
      <c r="D1052" s="26" t="s">
        <v>91</v>
      </c>
      <c r="E1052" t="s">
        <v>83</v>
      </c>
      <c r="F1052" t="s">
        <v>25</v>
      </c>
      <c r="G1052" s="13"/>
      <c r="H1052" t="s">
        <v>15</v>
      </c>
    </row>
    <row r="1053" spans="1:9">
      <c r="A1053" s="49"/>
      <c r="B1053" s="50"/>
      <c r="C1053" s="49"/>
      <c r="D1053" s="49"/>
      <c r="E1053" s="49"/>
      <c r="F1053" s="49"/>
      <c r="G1053" s="49"/>
      <c r="H1053" s="49"/>
      <c r="I1053" s="49"/>
    </row>
    <row r="1054" spans="1:9" ht="15.6">
      <c r="A1054" s="18" t="s">
        <v>1</v>
      </c>
      <c r="B1054" s="24" t="s">
        <v>484</v>
      </c>
    </row>
    <row r="1055" spans="1:9">
      <c r="A1055" s="24" t="s">
        <v>2</v>
      </c>
      <c r="B1055" s="26" t="s">
        <v>28</v>
      </c>
      <c r="H1055" s="55"/>
    </row>
    <row r="1056" spans="1:9">
      <c r="A1056" s="24" t="s">
        <v>3</v>
      </c>
      <c r="B1056">
        <v>1</v>
      </c>
      <c r="F1056" s="13"/>
      <c r="H1056" s="13"/>
    </row>
    <row r="1057" spans="1:10">
      <c r="A1057" s="24" t="s">
        <v>4</v>
      </c>
      <c r="B1057" s="26" t="s">
        <v>485</v>
      </c>
      <c r="F1057" s="13"/>
      <c r="J1057" s="56"/>
    </row>
    <row r="1058" spans="1:10">
      <c r="A1058" s="24" t="s">
        <v>5</v>
      </c>
      <c r="B1058" t="s">
        <v>59</v>
      </c>
      <c r="F1058" s="20"/>
    </row>
    <row r="1059" spans="1:10">
      <c r="A1059" s="24" t="s">
        <v>6</v>
      </c>
      <c r="B1059" t="s">
        <v>486</v>
      </c>
    </row>
    <row r="1060" spans="1:10">
      <c r="A1060" s="24" t="s">
        <v>57</v>
      </c>
      <c r="B1060" t="s">
        <v>756</v>
      </c>
    </row>
    <row r="1061" spans="1:10" ht="15.6">
      <c r="A1061" s="18" t="s">
        <v>7</v>
      </c>
      <c r="B1061" s="26"/>
      <c r="C1061" s="25"/>
      <c r="D1061" s="26"/>
      <c r="E1061" s="26"/>
      <c r="F1061" s="26"/>
      <c r="G1061" s="26"/>
      <c r="H1061" s="26"/>
      <c r="I1061" s="26"/>
    </row>
    <row r="1062" spans="1:10">
      <c r="A1062" s="24" t="s">
        <v>8</v>
      </c>
      <c r="B1062" s="24" t="s">
        <v>4</v>
      </c>
      <c r="C1062" s="30" t="s">
        <v>9</v>
      </c>
      <c r="D1062" s="24" t="s">
        <v>6</v>
      </c>
      <c r="E1062" s="24" t="s">
        <v>81</v>
      </c>
      <c r="F1062" s="24" t="s">
        <v>10</v>
      </c>
      <c r="G1062" s="24" t="s">
        <v>2</v>
      </c>
      <c r="H1062" s="24" t="s">
        <v>5</v>
      </c>
      <c r="I1062" s="24" t="s">
        <v>11</v>
      </c>
    </row>
    <row r="1063" spans="1:10">
      <c r="A1063" s="26" t="s">
        <v>484</v>
      </c>
      <c r="B1063" s="26" t="s">
        <v>485</v>
      </c>
      <c r="C1063">
        <v>1</v>
      </c>
      <c r="D1063" t="s">
        <v>486</v>
      </c>
      <c r="G1063" t="s">
        <v>28</v>
      </c>
      <c r="H1063" t="s">
        <v>18</v>
      </c>
    </row>
    <row r="1064" spans="1:10">
      <c r="A1064" t="s">
        <v>481</v>
      </c>
      <c r="B1064" s="13" t="s">
        <v>480</v>
      </c>
      <c r="C1064" s="13">
        <v>8.9619999999999997E-11</v>
      </c>
      <c r="D1064" t="s">
        <v>6</v>
      </c>
      <c r="G1064" t="s">
        <v>96</v>
      </c>
      <c r="H1064" t="s">
        <v>12</v>
      </c>
    </row>
    <row r="1065" spans="1:10">
      <c r="A1065" t="s">
        <v>483</v>
      </c>
      <c r="B1065" s="13" t="s">
        <v>482</v>
      </c>
      <c r="C1065" s="13">
        <v>2.5800000000000001E-13</v>
      </c>
      <c r="D1065" t="s">
        <v>6</v>
      </c>
      <c r="G1065" t="s">
        <v>96</v>
      </c>
      <c r="H1065" t="s">
        <v>12</v>
      </c>
    </row>
    <row r="1066" spans="1:10">
      <c r="A1066" t="s">
        <v>477</v>
      </c>
      <c r="B1066" s="13" t="s">
        <v>476</v>
      </c>
      <c r="C1066">
        <v>2.6426999999999999E-2</v>
      </c>
      <c r="D1066" t="s">
        <v>13</v>
      </c>
      <c r="G1066" t="s">
        <v>26</v>
      </c>
      <c r="H1066" t="s">
        <v>12</v>
      </c>
    </row>
    <row r="1067" spans="1:10">
      <c r="A1067" t="s">
        <v>87</v>
      </c>
      <c r="C1067">
        <v>3.0319294841785747E-4</v>
      </c>
      <c r="D1067" t="s">
        <v>13</v>
      </c>
      <c r="E1067" t="s">
        <v>83</v>
      </c>
      <c r="F1067" t="s">
        <v>25</v>
      </c>
      <c r="H1067" t="s">
        <v>15</v>
      </c>
    </row>
    <row r="1068" spans="1:10">
      <c r="A1068" t="s">
        <v>478</v>
      </c>
      <c r="C1068">
        <v>1.0312926008611849E-4</v>
      </c>
      <c r="D1068" t="s">
        <v>13</v>
      </c>
      <c r="E1068" t="s">
        <v>83</v>
      </c>
      <c r="F1068" t="s">
        <v>25</v>
      </c>
      <c r="H1068" t="s">
        <v>15</v>
      </c>
    </row>
    <row r="1069" spans="1:10">
      <c r="A1069" t="s">
        <v>391</v>
      </c>
      <c r="C1069">
        <v>9.6919104678861535E-6</v>
      </c>
      <c r="D1069" t="s">
        <v>13</v>
      </c>
      <c r="E1069" t="s">
        <v>83</v>
      </c>
      <c r="F1069" t="s">
        <v>25</v>
      </c>
      <c r="H1069" t="s">
        <v>15</v>
      </c>
    </row>
    <row r="1070" spans="1:10">
      <c r="A1070" t="s">
        <v>32</v>
      </c>
      <c r="C1070">
        <v>8.3218361203244121E-2</v>
      </c>
      <c r="D1070" t="s">
        <v>13</v>
      </c>
      <c r="E1070" t="s">
        <v>83</v>
      </c>
      <c r="F1070" t="s">
        <v>25</v>
      </c>
      <c r="H1070" t="s">
        <v>15</v>
      </c>
    </row>
    <row r="1071" spans="1:10">
      <c r="A1071" t="s">
        <v>93</v>
      </c>
      <c r="C1071">
        <v>3.2505107742137262E-5</v>
      </c>
      <c r="D1071" t="s">
        <v>91</v>
      </c>
      <c r="E1071" t="s">
        <v>83</v>
      </c>
      <c r="F1071" t="s">
        <v>25</v>
      </c>
      <c r="H1071" t="s">
        <v>15</v>
      </c>
    </row>
    <row r="1072" spans="1:10">
      <c r="A1072" t="s">
        <v>479</v>
      </c>
      <c r="C1072">
        <v>2.219861016536204E-5</v>
      </c>
      <c r="D1072" t="s">
        <v>13</v>
      </c>
      <c r="E1072" t="s">
        <v>83</v>
      </c>
      <c r="F1072" t="s">
        <v>25</v>
      </c>
      <c r="H1072" t="s">
        <v>15</v>
      </c>
    </row>
    <row r="1073" spans="1:10">
      <c r="A1073" s="49"/>
      <c r="B1073" s="50"/>
      <c r="C1073" s="49"/>
      <c r="D1073" s="49"/>
      <c r="E1073" s="49"/>
      <c r="F1073" s="49"/>
      <c r="G1073" s="49"/>
      <c r="H1073" s="49"/>
      <c r="I1073" s="49"/>
    </row>
    <row r="1074" spans="1:10" ht="15.6">
      <c r="A1074" s="18" t="s">
        <v>1</v>
      </c>
      <c r="B1074" s="24" t="s">
        <v>487</v>
      </c>
    </row>
    <row r="1075" spans="1:10">
      <c r="A1075" s="24" t="s">
        <v>2</v>
      </c>
      <c r="B1075" s="26" t="s">
        <v>28</v>
      </c>
      <c r="H1075" s="55"/>
    </row>
    <row r="1076" spans="1:10">
      <c r="A1076" s="24" t="s">
        <v>3</v>
      </c>
      <c r="B1076">
        <v>1</v>
      </c>
      <c r="F1076" s="13"/>
      <c r="H1076" s="13"/>
    </row>
    <row r="1077" spans="1:10">
      <c r="A1077" s="24" t="s">
        <v>4</v>
      </c>
      <c r="B1077" s="26" t="s">
        <v>488</v>
      </c>
      <c r="F1077" s="13"/>
      <c r="J1077" s="56"/>
    </row>
    <row r="1078" spans="1:10">
      <c r="A1078" s="24" t="s">
        <v>5</v>
      </c>
      <c r="B1078" t="s">
        <v>59</v>
      </c>
      <c r="F1078" s="20"/>
    </row>
    <row r="1079" spans="1:10">
      <c r="A1079" s="24" t="s">
        <v>6</v>
      </c>
      <c r="B1079" t="s">
        <v>35</v>
      </c>
    </row>
    <row r="1080" spans="1:10">
      <c r="A1080" s="24" t="s">
        <v>57</v>
      </c>
      <c r="B1080"/>
    </row>
    <row r="1081" spans="1:10" ht="15.6">
      <c r="A1081" s="18" t="s">
        <v>7</v>
      </c>
      <c r="B1081" s="26"/>
      <c r="C1081" s="25"/>
      <c r="D1081" s="26"/>
      <c r="E1081" s="26"/>
      <c r="F1081" s="26"/>
      <c r="G1081" s="26"/>
      <c r="H1081" s="26"/>
      <c r="I1081" s="26"/>
    </row>
    <row r="1082" spans="1:10">
      <c r="A1082" s="24" t="s">
        <v>8</v>
      </c>
      <c r="B1082" s="24" t="s">
        <v>4</v>
      </c>
      <c r="C1082" s="30" t="s">
        <v>9</v>
      </c>
      <c r="D1082" s="24" t="s">
        <v>6</v>
      </c>
      <c r="E1082" s="24" t="s">
        <v>81</v>
      </c>
      <c r="F1082" s="24" t="s">
        <v>10</v>
      </c>
      <c r="G1082" s="24" t="s">
        <v>2</v>
      </c>
      <c r="H1082" s="24" t="s">
        <v>5</v>
      </c>
      <c r="I1082" s="24" t="s">
        <v>11</v>
      </c>
    </row>
    <row r="1083" spans="1:10">
      <c r="A1083" s="26" t="s">
        <v>487</v>
      </c>
      <c r="B1083" s="26" t="s">
        <v>488</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6">
      <c r="A1086" s="18" t="s">
        <v>1</v>
      </c>
      <c r="B1086" s="24" t="s">
        <v>494</v>
      </c>
    </row>
    <row r="1087" spans="1:10">
      <c r="A1087" s="24" t="s">
        <v>2</v>
      </c>
      <c r="B1087" s="26" t="s">
        <v>28</v>
      </c>
      <c r="H1087" s="55"/>
    </row>
    <row r="1088" spans="1:10">
      <c r="A1088" s="24" t="s">
        <v>3</v>
      </c>
      <c r="B1088">
        <v>1</v>
      </c>
      <c r="F1088" s="13"/>
      <c r="H1088" s="13"/>
    </row>
    <row r="1089" spans="1:10">
      <c r="A1089" s="24" t="s">
        <v>4</v>
      </c>
      <c r="B1089" s="26" t="s">
        <v>495</v>
      </c>
      <c r="F1089" s="13"/>
      <c r="J1089" s="56"/>
    </row>
    <row r="1090" spans="1:10">
      <c r="A1090" s="24" t="s">
        <v>5</v>
      </c>
      <c r="B1090" t="s">
        <v>59</v>
      </c>
      <c r="F1090" s="20"/>
    </row>
    <row r="1091" spans="1:10">
      <c r="A1091" s="24" t="s">
        <v>6</v>
      </c>
      <c r="B1091" t="s">
        <v>13</v>
      </c>
    </row>
    <row r="1092" spans="1:10">
      <c r="A1092" s="24" t="s">
        <v>57</v>
      </c>
      <c r="B1092" t="s">
        <v>493</v>
      </c>
    </row>
    <row r="1093" spans="1:10" ht="15.6">
      <c r="A1093" s="18" t="s">
        <v>7</v>
      </c>
      <c r="B1093" s="26"/>
      <c r="C1093" s="25"/>
      <c r="D1093" s="26"/>
      <c r="E1093" s="26"/>
      <c r="F1093" s="26"/>
      <c r="G1093" s="26"/>
      <c r="H1093" s="26"/>
      <c r="I1093" s="26"/>
    </row>
    <row r="1094" spans="1:10">
      <c r="A1094" s="24" t="s">
        <v>8</v>
      </c>
      <c r="B1094" s="24" t="s">
        <v>4</v>
      </c>
      <c r="C1094" s="30" t="s">
        <v>9</v>
      </c>
      <c r="D1094" s="24" t="s">
        <v>6</v>
      </c>
      <c r="E1094" s="24" t="s">
        <v>81</v>
      </c>
      <c r="F1094" s="24" t="s">
        <v>10</v>
      </c>
      <c r="G1094" s="24" t="s">
        <v>2</v>
      </c>
      <c r="H1094" s="24" t="s">
        <v>5</v>
      </c>
      <c r="I1094" s="24" t="s">
        <v>11</v>
      </c>
    </row>
    <row r="1095" spans="1:10">
      <c r="A1095" s="26" t="s">
        <v>494</v>
      </c>
      <c r="B1095" s="26" t="s">
        <v>495</v>
      </c>
      <c r="C1095">
        <v>1</v>
      </c>
      <c r="D1095" t="s">
        <v>13</v>
      </c>
      <c r="G1095" t="s">
        <v>28</v>
      </c>
      <c r="H1095" t="s">
        <v>18</v>
      </c>
    </row>
    <row r="1096" spans="1:10">
      <c r="A1096" t="s">
        <v>34</v>
      </c>
      <c r="B1096" s="13" t="s">
        <v>33</v>
      </c>
      <c r="C1096" s="13">
        <v>8.3599999999999999E-5</v>
      </c>
      <c r="D1096" t="s">
        <v>19</v>
      </c>
      <c r="G1096" t="s">
        <v>28</v>
      </c>
      <c r="H1096" t="s">
        <v>12</v>
      </c>
    </row>
    <row r="1097" spans="1:10">
      <c r="A1097" t="s">
        <v>496</v>
      </c>
      <c r="B1097" s="13" t="s">
        <v>448</v>
      </c>
      <c r="C1097">
        <v>6.25E-2</v>
      </c>
      <c r="D1097" s="13" t="s">
        <v>35</v>
      </c>
      <c r="G1097" t="s">
        <v>134</v>
      </c>
      <c r="H1097" t="s">
        <v>12</v>
      </c>
    </row>
    <row r="1098" spans="1:10">
      <c r="A1098" t="s">
        <v>489</v>
      </c>
      <c r="B1098" s="13" t="s">
        <v>492</v>
      </c>
      <c r="C1098" s="41">
        <v>0.33329999999999999</v>
      </c>
      <c r="D1098" t="s">
        <v>13</v>
      </c>
      <c r="G1098" t="s">
        <v>26</v>
      </c>
      <c r="H1098" t="s">
        <v>12</v>
      </c>
    </row>
    <row r="1099" spans="1:10">
      <c r="A1099" t="s">
        <v>490</v>
      </c>
      <c r="B1099" s="13" t="s">
        <v>492</v>
      </c>
      <c r="C1099" s="41">
        <v>0.33329999999999999</v>
      </c>
      <c r="D1099" t="s">
        <v>13</v>
      </c>
      <c r="G1099" t="s">
        <v>26</v>
      </c>
      <c r="H1099" t="s">
        <v>12</v>
      </c>
    </row>
    <row r="1100" spans="1:10">
      <c r="A1100" t="s">
        <v>491</v>
      </c>
      <c r="B1100" s="13" t="s">
        <v>492</v>
      </c>
      <c r="C1100" s="41">
        <v>0.33329999999999999</v>
      </c>
      <c r="D1100" t="s">
        <v>13</v>
      </c>
      <c r="G1100" t="s">
        <v>26</v>
      </c>
      <c r="H1100" t="s">
        <v>12</v>
      </c>
    </row>
    <row r="1101" spans="1:10">
      <c r="A1101" s="49"/>
      <c r="B1101" s="50"/>
      <c r="C1101" s="49"/>
      <c r="D1101" s="49"/>
      <c r="E1101" s="49"/>
      <c r="F1101" s="49"/>
      <c r="G1101" s="49"/>
      <c r="H1101" s="49"/>
      <c r="I1101" s="49"/>
    </row>
    <row r="1102" spans="1:10" ht="15.6">
      <c r="A1102" s="18" t="s">
        <v>1</v>
      </c>
      <c r="B1102" s="23" t="s">
        <v>438</v>
      </c>
    </row>
    <row r="1103" spans="1:10">
      <c r="A1103" s="24" t="s">
        <v>2</v>
      </c>
      <c r="B1103" s="13" t="s">
        <v>28</v>
      </c>
      <c r="H1103" s="55"/>
    </row>
    <row r="1104" spans="1:10">
      <c r="A1104" s="24" t="s">
        <v>3</v>
      </c>
      <c r="B1104" s="13">
        <v>1</v>
      </c>
      <c r="F1104" s="13"/>
      <c r="H1104" s="13"/>
    </row>
    <row r="1105" spans="1:10">
      <c r="A1105" s="24" t="s">
        <v>4</v>
      </c>
      <c r="B1105" s="13" t="s">
        <v>520</v>
      </c>
      <c r="F1105" s="13"/>
      <c r="J1105" s="56"/>
    </row>
    <row r="1106" spans="1:10">
      <c r="A1106" s="24" t="s">
        <v>5</v>
      </c>
      <c r="B1106" s="13" t="s">
        <v>59</v>
      </c>
      <c r="F1106" s="20"/>
    </row>
    <row r="1107" spans="1:10">
      <c r="A1107" s="24" t="s">
        <v>6</v>
      </c>
      <c r="B1107" s="13" t="s">
        <v>35</v>
      </c>
    </row>
    <row r="1108" spans="1:10">
      <c r="A1108" s="24" t="s">
        <v>57</v>
      </c>
    </row>
    <row r="1109" spans="1:10" ht="15.6">
      <c r="A1109" s="18" t="s">
        <v>7</v>
      </c>
      <c r="C1109" s="25"/>
      <c r="D1109" s="26"/>
      <c r="E1109" s="26"/>
      <c r="F1109" s="26"/>
      <c r="G1109" s="26"/>
      <c r="H1109" s="26"/>
      <c r="I1109" s="26"/>
    </row>
    <row r="1110" spans="1:10">
      <c r="A1110" s="24" t="s">
        <v>8</v>
      </c>
      <c r="B1110" s="23" t="s">
        <v>4</v>
      </c>
      <c r="C1110" s="30" t="s">
        <v>9</v>
      </c>
      <c r="D1110" s="24" t="s">
        <v>6</v>
      </c>
      <c r="E1110" s="24" t="s">
        <v>81</v>
      </c>
      <c r="F1110" s="24" t="s">
        <v>10</v>
      </c>
      <c r="G1110" s="24" t="s">
        <v>2</v>
      </c>
      <c r="H1110" s="24" t="s">
        <v>5</v>
      </c>
      <c r="I1110" s="24" t="s">
        <v>11</v>
      </c>
    </row>
    <row r="1111" spans="1:10">
      <c r="A1111" s="13" t="s">
        <v>438</v>
      </c>
      <c r="B1111" s="13" t="s">
        <v>520</v>
      </c>
      <c r="C1111">
        <v>1</v>
      </c>
      <c r="D1111" t="s">
        <v>35</v>
      </c>
      <c r="G1111" t="s">
        <v>28</v>
      </c>
      <c r="H1111" t="s">
        <v>18</v>
      </c>
    </row>
    <row r="1112" spans="1:10">
      <c r="A1112" t="s">
        <v>135</v>
      </c>
      <c r="B1112" s="13" t="s">
        <v>136</v>
      </c>
      <c r="C1112" s="13">
        <v>6.4679999999999703E-7</v>
      </c>
      <c r="D1112" t="s">
        <v>6</v>
      </c>
      <c r="G1112" t="s">
        <v>96</v>
      </c>
      <c r="H1112" t="s">
        <v>12</v>
      </c>
    </row>
    <row r="1113" spans="1:10">
      <c r="A1113" t="s">
        <v>27</v>
      </c>
      <c r="B1113" s="13" t="s">
        <v>20</v>
      </c>
      <c r="C1113">
        <v>2.7243999999999801E-3</v>
      </c>
      <c r="D1113" t="s">
        <v>19</v>
      </c>
      <c r="G1113" t="s">
        <v>28</v>
      </c>
      <c r="H1113" t="s">
        <v>12</v>
      </c>
    </row>
    <row r="1114" spans="1:10">
      <c r="A1114" t="s">
        <v>284</v>
      </c>
      <c r="B1114" s="13" t="s">
        <v>170</v>
      </c>
      <c r="C1114">
        <v>2.8801990359849587E-2</v>
      </c>
      <c r="D1114" t="s">
        <v>91</v>
      </c>
      <c r="G1114" t="s">
        <v>134</v>
      </c>
      <c r="H1114" t="s">
        <v>12</v>
      </c>
    </row>
    <row r="1115" spans="1:10">
      <c r="A1115" t="s">
        <v>138</v>
      </c>
      <c r="C1115">
        <v>5.6806759804485539E-2</v>
      </c>
      <c r="D1115" t="s">
        <v>13</v>
      </c>
      <c r="E1115" t="s">
        <v>83</v>
      </c>
      <c r="F1115" t="s">
        <v>174</v>
      </c>
      <c r="H1115" t="s">
        <v>15</v>
      </c>
    </row>
    <row r="1116" spans="1:10">
      <c r="A1116" t="s">
        <v>110</v>
      </c>
      <c r="C1116">
        <v>2.002793296089165E-6</v>
      </c>
      <c r="D1116" t="s">
        <v>13</v>
      </c>
      <c r="E1116" t="s">
        <v>83</v>
      </c>
      <c r="F1116" t="s">
        <v>174</v>
      </c>
      <c r="H1116" t="s">
        <v>15</v>
      </c>
    </row>
    <row r="1117" spans="1:10">
      <c r="A1117" t="s">
        <v>82</v>
      </c>
      <c r="C1117" s="13">
        <v>9.79999999999996E-10</v>
      </c>
      <c r="D1117" t="s">
        <v>13</v>
      </c>
      <c r="E1117" t="s">
        <v>83</v>
      </c>
      <c r="F1117" t="s">
        <v>174</v>
      </c>
      <c r="H1117" t="s">
        <v>15</v>
      </c>
    </row>
    <row r="1118" spans="1:10">
      <c r="A1118" t="s">
        <v>521</v>
      </c>
      <c r="C1118" s="13">
        <v>1.46999999999999E-7</v>
      </c>
      <c r="D1118" t="s">
        <v>13</v>
      </c>
      <c r="E1118" t="s">
        <v>83</v>
      </c>
      <c r="F1118" t="s">
        <v>174</v>
      </c>
      <c r="H1118" t="s">
        <v>15</v>
      </c>
    </row>
    <row r="1119" spans="1:10">
      <c r="A1119" t="s">
        <v>522</v>
      </c>
      <c r="C1119" s="13">
        <v>3.91999999999998E-7</v>
      </c>
      <c r="D1119" t="s">
        <v>13</v>
      </c>
      <c r="E1119" t="s">
        <v>83</v>
      </c>
      <c r="F1119" t="s">
        <v>174</v>
      </c>
      <c r="H1119" t="s">
        <v>15</v>
      </c>
    </row>
    <row r="1120" spans="1:10">
      <c r="A1120" t="s">
        <v>523</v>
      </c>
      <c r="C1120" s="13">
        <v>9.7999999999999607E-12</v>
      </c>
      <c r="D1120" t="s">
        <v>13</v>
      </c>
      <c r="E1120" t="s">
        <v>83</v>
      </c>
      <c r="F1120" t="s">
        <v>174</v>
      </c>
      <c r="H1120" t="s">
        <v>15</v>
      </c>
    </row>
    <row r="1121" spans="1:8">
      <c r="A1121" t="s">
        <v>84</v>
      </c>
      <c r="C1121" s="13">
        <v>6.8599999999999701E-7</v>
      </c>
      <c r="D1121" t="s">
        <v>13</v>
      </c>
      <c r="E1121" t="s">
        <v>83</v>
      </c>
      <c r="F1121" t="s">
        <v>174</v>
      </c>
      <c r="H1121" t="s">
        <v>15</v>
      </c>
    </row>
    <row r="1122" spans="1:8">
      <c r="A1122" t="s">
        <v>140</v>
      </c>
      <c r="C1122" s="13">
        <v>5.7819999999999702E-6</v>
      </c>
      <c r="D1122" t="s">
        <v>13</v>
      </c>
      <c r="E1122" t="s">
        <v>83</v>
      </c>
      <c r="F1122" t="s">
        <v>174</v>
      </c>
      <c r="H1122" t="s">
        <v>15</v>
      </c>
    </row>
    <row r="1123" spans="1:8">
      <c r="A1123" t="s">
        <v>85</v>
      </c>
      <c r="C1123" s="13">
        <v>4.8999999999999796E-7</v>
      </c>
      <c r="D1123" t="s">
        <v>13</v>
      </c>
      <c r="E1123" t="s">
        <v>83</v>
      </c>
      <c r="F1123" t="s">
        <v>174</v>
      </c>
      <c r="H1123" t="s">
        <v>15</v>
      </c>
    </row>
    <row r="1124" spans="1:8">
      <c r="A1124" t="s">
        <v>524</v>
      </c>
      <c r="C1124" s="13">
        <v>2.9399999999999797E-17</v>
      </c>
      <c r="D1124" t="s">
        <v>13</v>
      </c>
      <c r="E1124" t="s">
        <v>83</v>
      </c>
      <c r="F1124" t="s">
        <v>174</v>
      </c>
      <c r="H1124" t="s">
        <v>15</v>
      </c>
    </row>
    <row r="1125" spans="1:8">
      <c r="A1125" t="s">
        <v>525</v>
      </c>
      <c r="C1125" s="13">
        <v>9.7999999999999594E-8</v>
      </c>
      <c r="D1125" t="s">
        <v>13</v>
      </c>
      <c r="E1125" t="s">
        <v>83</v>
      </c>
      <c r="F1125" t="s">
        <v>174</v>
      </c>
      <c r="H1125" t="s">
        <v>15</v>
      </c>
    </row>
    <row r="1126" spans="1:8">
      <c r="A1126" t="s">
        <v>526</v>
      </c>
      <c r="C1126" s="13">
        <v>2.9399999999999803E-11</v>
      </c>
      <c r="D1126" t="s">
        <v>13</v>
      </c>
      <c r="E1126" t="s">
        <v>83</v>
      </c>
      <c r="F1126" t="s">
        <v>174</v>
      </c>
      <c r="H1126" t="s">
        <v>15</v>
      </c>
    </row>
    <row r="1127" spans="1:8">
      <c r="A1127" t="s">
        <v>87</v>
      </c>
      <c r="C1127" s="13">
        <v>9.7019999999999606E-6</v>
      </c>
      <c r="D1127" t="s">
        <v>13</v>
      </c>
      <c r="E1127" t="s">
        <v>83</v>
      </c>
      <c r="F1127" t="s">
        <v>174</v>
      </c>
      <c r="H1127" t="s">
        <v>15</v>
      </c>
    </row>
    <row r="1128" spans="1:8">
      <c r="A1128" t="s">
        <v>527</v>
      </c>
      <c r="C1128" s="13">
        <v>9.7999999999999604E-9</v>
      </c>
      <c r="D1128" t="s">
        <v>13</v>
      </c>
      <c r="E1128" t="s">
        <v>83</v>
      </c>
      <c r="F1128" t="s">
        <v>174</v>
      </c>
      <c r="H1128" t="s">
        <v>15</v>
      </c>
    </row>
    <row r="1129" spans="1:8">
      <c r="A1129" t="s">
        <v>528</v>
      </c>
      <c r="C1129" s="13">
        <v>9.7999999999999594E-8</v>
      </c>
      <c r="D1129" t="s">
        <v>13</v>
      </c>
      <c r="E1129" t="s">
        <v>83</v>
      </c>
      <c r="F1129" t="s">
        <v>174</v>
      </c>
      <c r="H1129" t="s">
        <v>15</v>
      </c>
    </row>
    <row r="1130" spans="1:8">
      <c r="A1130" t="s">
        <v>529</v>
      </c>
      <c r="C1130" s="13">
        <v>1.1759999999999901E-6</v>
      </c>
      <c r="D1130" t="s">
        <v>13</v>
      </c>
      <c r="E1130" t="s">
        <v>83</v>
      </c>
      <c r="F1130" t="s">
        <v>174</v>
      </c>
      <c r="H1130" t="s">
        <v>15</v>
      </c>
    </row>
    <row r="1131" spans="1:8">
      <c r="A1131" t="s">
        <v>88</v>
      </c>
      <c r="C1131" s="13">
        <v>1.95999999999999E-7</v>
      </c>
      <c r="D1131" t="s">
        <v>13</v>
      </c>
      <c r="E1131" t="s">
        <v>83</v>
      </c>
      <c r="F1131" t="s">
        <v>174</v>
      </c>
      <c r="H1131" t="s">
        <v>15</v>
      </c>
    </row>
    <row r="1132" spans="1:8">
      <c r="A1132" t="s">
        <v>530</v>
      </c>
      <c r="C1132" s="13">
        <v>1.9599999999999901E-8</v>
      </c>
      <c r="D1132" t="s">
        <v>13</v>
      </c>
      <c r="E1132" t="s">
        <v>83</v>
      </c>
      <c r="F1132" t="s">
        <v>174</v>
      </c>
      <c r="H1132" t="s">
        <v>15</v>
      </c>
    </row>
    <row r="1133" spans="1:8">
      <c r="A1133" t="s">
        <v>89</v>
      </c>
      <c r="C1133" s="13">
        <v>4.8999999999999796E-7</v>
      </c>
      <c r="D1133" t="s">
        <v>13</v>
      </c>
      <c r="E1133" t="s">
        <v>83</v>
      </c>
      <c r="F1133" t="s">
        <v>174</v>
      </c>
      <c r="H1133" t="s">
        <v>15</v>
      </c>
    </row>
    <row r="1134" spans="1:8">
      <c r="A1134" t="s">
        <v>531</v>
      </c>
      <c r="C1134" s="13">
        <v>1.95999999999999E-7</v>
      </c>
      <c r="D1134" t="s">
        <v>13</v>
      </c>
      <c r="E1134" t="s">
        <v>83</v>
      </c>
      <c r="F1134" t="s">
        <v>174</v>
      </c>
      <c r="H1134" t="s">
        <v>15</v>
      </c>
    </row>
    <row r="1135" spans="1:8">
      <c r="A1135" t="s">
        <v>166</v>
      </c>
      <c r="C1135" s="13">
        <v>1.2739999999999901E-7</v>
      </c>
      <c r="D1135" t="s">
        <v>13</v>
      </c>
      <c r="E1135" t="s">
        <v>83</v>
      </c>
      <c r="F1135" t="s">
        <v>208</v>
      </c>
      <c r="H1135" t="s">
        <v>15</v>
      </c>
    </row>
    <row r="1136" spans="1:8">
      <c r="A1136" t="s">
        <v>532</v>
      </c>
      <c r="C1136" s="13">
        <v>2.9399999999999799E-9</v>
      </c>
      <c r="D1136" t="s">
        <v>13</v>
      </c>
      <c r="E1136" t="s">
        <v>83</v>
      </c>
      <c r="F1136" t="s">
        <v>208</v>
      </c>
      <c r="H1136" t="s">
        <v>15</v>
      </c>
    </row>
    <row r="1137" spans="1:10">
      <c r="A1137" t="s">
        <v>533</v>
      </c>
      <c r="C1137" s="13">
        <v>4.8999999999999797E-8</v>
      </c>
      <c r="D1137" t="s">
        <v>13</v>
      </c>
      <c r="E1137" t="s">
        <v>83</v>
      </c>
      <c r="F1137" t="s">
        <v>208</v>
      </c>
      <c r="H1137" t="s">
        <v>15</v>
      </c>
    </row>
    <row r="1138" spans="1:10">
      <c r="A1138" t="s">
        <v>534</v>
      </c>
      <c r="C1138" s="13">
        <v>4.8999999999999797E-8</v>
      </c>
      <c r="D1138" t="s">
        <v>13</v>
      </c>
      <c r="E1138" t="s">
        <v>83</v>
      </c>
      <c r="F1138" t="s">
        <v>208</v>
      </c>
      <c r="H1138" t="s">
        <v>15</v>
      </c>
    </row>
    <row r="1139" spans="1:10">
      <c r="A1139" s="49"/>
      <c r="B1139" s="50"/>
      <c r="C1139" s="49"/>
      <c r="D1139" s="49"/>
      <c r="E1139" s="49"/>
      <c r="F1139" s="49"/>
      <c r="G1139" s="49"/>
      <c r="H1139" s="49"/>
      <c r="I1139" s="49"/>
    </row>
    <row r="1140" spans="1:10" ht="15.6">
      <c r="A1140" s="18" t="s">
        <v>1</v>
      </c>
      <c r="B1140" s="23" t="s">
        <v>535</v>
      </c>
    </row>
    <row r="1141" spans="1:10">
      <c r="A1141" s="24" t="s">
        <v>2</v>
      </c>
      <c r="B1141" s="13" t="s">
        <v>28</v>
      </c>
      <c r="H1141" s="55"/>
    </row>
    <row r="1142" spans="1:10">
      <c r="A1142" s="24" t="s">
        <v>3</v>
      </c>
      <c r="B1142" s="13">
        <v>1</v>
      </c>
      <c r="F1142" s="13"/>
      <c r="H1142" s="13"/>
    </row>
    <row r="1143" spans="1:10">
      <c r="A1143" s="24" t="s">
        <v>4</v>
      </c>
      <c r="B1143" s="13" t="s">
        <v>536</v>
      </c>
      <c r="F1143" s="13"/>
      <c r="J1143" s="56"/>
    </row>
    <row r="1144" spans="1:10">
      <c r="A1144" s="24" t="s">
        <v>5</v>
      </c>
      <c r="B1144" s="13" t="s">
        <v>59</v>
      </c>
      <c r="F1144" s="20"/>
    </row>
    <row r="1145" spans="1:10">
      <c r="A1145" s="24" t="s">
        <v>6</v>
      </c>
      <c r="B1145" s="13" t="s">
        <v>35</v>
      </c>
    </row>
    <row r="1146" spans="1:10">
      <c r="A1146" s="24" t="s">
        <v>57</v>
      </c>
    </row>
    <row r="1147" spans="1:10" ht="15.6">
      <c r="A1147" s="18" t="s">
        <v>7</v>
      </c>
      <c r="C1147" s="25"/>
      <c r="D1147" s="26"/>
      <c r="E1147" s="26"/>
      <c r="F1147" s="26"/>
      <c r="G1147" s="26"/>
      <c r="H1147" s="26"/>
      <c r="I1147" s="26"/>
    </row>
    <row r="1148" spans="1:10">
      <c r="A1148" s="24" t="s">
        <v>8</v>
      </c>
      <c r="B1148" s="23" t="s">
        <v>4</v>
      </c>
      <c r="C1148" s="30" t="s">
        <v>9</v>
      </c>
      <c r="D1148" s="24" t="s">
        <v>6</v>
      </c>
      <c r="E1148" s="24" t="s">
        <v>81</v>
      </c>
      <c r="F1148" s="24" t="s">
        <v>10</v>
      </c>
      <c r="G1148" s="24" t="s">
        <v>2</v>
      </c>
      <c r="H1148" s="24" t="s">
        <v>5</v>
      </c>
      <c r="I1148" s="24" t="s">
        <v>11</v>
      </c>
    </row>
    <row r="1149" spans="1:10">
      <c r="A1149" s="13" t="s">
        <v>535</v>
      </c>
      <c r="B1149" s="13" t="s">
        <v>536</v>
      </c>
      <c r="C1149">
        <v>1</v>
      </c>
      <c r="D1149" t="s">
        <v>35</v>
      </c>
      <c r="G1149" t="s">
        <v>28</v>
      </c>
      <c r="H1149" t="s">
        <v>18</v>
      </c>
    </row>
    <row r="1150" spans="1:10">
      <c r="A1150" t="s">
        <v>135</v>
      </c>
      <c r="B1150" s="13" t="s">
        <v>136</v>
      </c>
      <c r="C1150" s="13">
        <v>6.4679999999999999E-7</v>
      </c>
      <c r="D1150" t="s">
        <v>6</v>
      </c>
      <c r="G1150" t="s">
        <v>96</v>
      </c>
      <c r="H1150" t="s">
        <v>12</v>
      </c>
    </row>
    <row r="1151" spans="1:10">
      <c r="A1151" t="s">
        <v>27</v>
      </c>
      <c r="B1151" s="13" t="s">
        <v>20</v>
      </c>
      <c r="C1151">
        <v>2.7243999999999801E-3</v>
      </c>
      <c r="D1151" t="s">
        <v>19</v>
      </c>
      <c r="G1151" t="s">
        <v>28</v>
      </c>
      <c r="H1151" t="s">
        <v>12</v>
      </c>
    </row>
    <row r="1152" spans="1:10">
      <c r="A1152" t="s">
        <v>537</v>
      </c>
      <c r="B1152" s="13" t="s">
        <v>99</v>
      </c>
      <c r="C1152">
        <v>2.8796896151254369E-2</v>
      </c>
      <c r="D1152" t="s">
        <v>91</v>
      </c>
      <c r="G1152" t="s">
        <v>28</v>
      </c>
      <c r="H1152" t="s">
        <v>12</v>
      </c>
    </row>
    <row r="1153" spans="1:8">
      <c r="A1153" t="s">
        <v>32</v>
      </c>
      <c r="C1153">
        <v>5.6796586669920886E-2</v>
      </c>
      <c r="D1153" t="s">
        <v>13</v>
      </c>
      <c r="E1153" t="s">
        <v>83</v>
      </c>
      <c r="F1153" t="s">
        <v>174</v>
      </c>
      <c r="H1153" t="s">
        <v>15</v>
      </c>
    </row>
    <row r="1154" spans="1:8">
      <c r="A1154" t="s">
        <v>86</v>
      </c>
      <c r="C1154">
        <v>2.0027932960891646E-6</v>
      </c>
      <c r="D1154" t="s">
        <v>13</v>
      </c>
      <c r="E1154" t="s">
        <v>83</v>
      </c>
      <c r="F1154" t="s">
        <v>174</v>
      </c>
      <c r="H1154" t="s">
        <v>15</v>
      </c>
    </row>
    <row r="1155" spans="1:8">
      <c r="A1155" t="s">
        <v>82</v>
      </c>
      <c r="C1155" s="13">
        <v>9.79999999999996E-10</v>
      </c>
      <c r="D1155" t="s">
        <v>13</v>
      </c>
      <c r="E1155" t="s">
        <v>83</v>
      </c>
      <c r="F1155" t="s">
        <v>174</v>
      </c>
      <c r="H1155" t="s">
        <v>15</v>
      </c>
    </row>
    <row r="1156" spans="1:8">
      <c r="A1156" t="s">
        <v>521</v>
      </c>
      <c r="C1156" s="13">
        <v>1.46999999999999E-7</v>
      </c>
      <c r="D1156" t="s">
        <v>13</v>
      </c>
      <c r="E1156" t="s">
        <v>83</v>
      </c>
      <c r="F1156" t="s">
        <v>174</v>
      </c>
      <c r="H1156" t="s">
        <v>15</v>
      </c>
    </row>
    <row r="1157" spans="1:8">
      <c r="A1157" t="s">
        <v>522</v>
      </c>
      <c r="C1157" s="13">
        <v>3.91999999999998E-7</v>
      </c>
      <c r="D1157" t="s">
        <v>13</v>
      </c>
      <c r="E1157" t="s">
        <v>83</v>
      </c>
      <c r="F1157" t="s">
        <v>174</v>
      </c>
      <c r="H1157" t="s">
        <v>15</v>
      </c>
    </row>
    <row r="1158" spans="1:8">
      <c r="A1158" t="s">
        <v>523</v>
      </c>
      <c r="C1158" s="13">
        <v>9.7999999999999607E-12</v>
      </c>
      <c r="D1158" t="s">
        <v>13</v>
      </c>
      <c r="E1158" t="s">
        <v>83</v>
      </c>
      <c r="F1158" t="s">
        <v>174</v>
      </c>
      <c r="H1158" t="s">
        <v>15</v>
      </c>
    </row>
    <row r="1159" spans="1:8">
      <c r="A1159" t="s">
        <v>84</v>
      </c>
      <c r="C1159" s="13">
        <v>6.8599999999999701E-7</v>
      </c>
      <c r="D1159" t="s">
        <v>13</v>
      </c>
      <c r="E1159" t="s">
        <v>83</v>
      </c>
      <c r="F1159" t="s">
        <v>174</v>
      </c>
      <c r="H1159" t="s">
        <v>15</v>
      </c>
    </row>
    <row r="1160" spans="1:8">
      <c r="A1160" t="s">
        <v>140</v>
      </c>
      <c r="C1160" s="13">
        <v>5.7819999999999702E-6</v>
      </c>
      <c r="D1160" t="s">
        <v>13</v>
      </c>
      <c r="E1160" t="s">
        <v>83</v>
      </c>
      <c r="F1160" t="s">
        <v>174</v>
      </c>
      <c r="H1160" t="s">
        <v>15</v>
      </c>
    </row>
    <row r="1161" spans="1:8">
      <c r="A1161" t="s">
        <v>85</v>
      </c>
      <c r="C1161" s="13">
        <v>4.8999999999999796E-7</v>
      </c>
      <c r="D1161" t="s">
        <v>13</v>
      </c>
      <c r="E1161" t="s">
        <v>83</v>
      </c>
      <c r="F1161" t="s">
        <v>174</v>
      </c>
      <c r="H1161" t="s">
        <v>15</v>
      </c>
    </row>
    <row r="1162" spans="1:8">
      <c r="A1162" t="s">
        <v>524</v>
      </c>
      <c r="C1162" s="13">
        <v>2.9399999999999797E-17</v>
      </c>
      <c r="D1162" t="s">
        <v>13</v>
      </c>
      <c r="E1162" t="s">
        <v>83</v>
      </c>
      <c r="F1162" t="s">
        <v>174</v>
      </c>
      <c r="H1162" t="s">
        <v>15</v>
      </c>
    </row>
    <row r="1163" spans="1:8">
      <c r="A1163" t="s">
        <v>525</v>
      </c>
      <c r="C1163" s="13">
        <v>9.7999999999999594E-8</v>
      </c>
      <c r="D1163" t="s">
        <v>13</v>
      </c>
      <c r="E1163" t="s">
        <v>83</v>
      </c>
      <c r="F1163" t="s">
        <v>174</v>
      </c>
      <c r="H1163" t="s">
        <v>15</v>
      </c>
    </row>
    <row r="1164" spans="1:8">
      <c r="A1164" t="s">
        <v>526</v>
      </c>
      <c r="C1164" s="13">
        <v>2.9399999999999803E-11</v>
      </c>
      <c r="D1164" t="s">
        <v>13</v>
      </c>
      <c r="E1164" t="s">
        <v>83</v>
      </c>
      <c r="F1164" t="s">
        <v>174</v>
      </c>
      <c r="H1164" t="s">
        <v>15</v>
      </c>
    </row>
    <row r="1165" spans="1:8">
      <c r="A1165" t="s">
        <v>87</v>
      </c>
      <c r="C1165" s="13">
        <v>9.7019999999999606E-6</v>
      </c>
      <c r="D1165" t="s">
        <v>13</v>
      </c>
      <c r="E1165" t="s">
        <v>83</v>
      </c>
      <c r="F1165" t="s">
        <v>174</v>
      </c>
      <c r="H1165" t="s">
        <v>15</v>
      </c>
    </row>
    <row r="1166" spans="1:8">
      <c r="A1166" t="s">
        <v>527</v>
      </c>
      <c r="C1166" s="13">
        <v>9.7999999999999604E-9</v>
      </c>
      <c r="D1166" t="s">
        <v>13</v>
      </c>
      <c r="E1166" t="s">
        <v>83</v>
      </c>
      <c r="F1166" t="s">
        <v>174</v>
      </c>
      <c r="H1166" t="s">
        <v>15</v>
      </c>
    </row>
    <row r="1167" spans="1:8">
      <c r="A1167" t="s">
        <v>528</v>
      </c>
      <c r="C1167" s="13">
        <v>9.7999999999999594E-8</v>
      </c>
      <c r="D1167" t="s">
        <v>13</v>
      </c>
      <c r="E1167" t="s">
        <v>83</v>
      </c>
      <c r="F1167" t="s">
        <v>174</v>
      </c>
      <c r="H1167" t="s">
        <v>15</v>
      </c>
    </row>
    <row r="1168" spans="1:8">
      <c r="A1168" t="s">
        <v>529</v>
      </c>
      <c r="C1168" s="13">
        <v>1.1759999999999901E-6</v>
      </c>
      <c r="D1168" t="s">
        <v>13</v>
      </c>
      <c r="E1168" t="s">
        <v>83</v>
      </c>
      <c r="F1168" t="s">
        <v>174</v>
      </c>
      <c r="H1168" t="s">
        <v>15</v>
      </c>
    </row>
    <row r="1169" spans="1:9">
      <c r="A1169" t="s">
        <v>88</v>
      </c>
      <c r="C1169" s="13">
        <v>1.95999999999999E-7</v>
      </c>
      <c r="D1169" t="s">
        <v>13</v>
      </c>
      <c r="E1169" t="s">
        <v>83</v>
      </c>
      <c r="F1169" t="s">
        <v>174</v>
      </c>
      <c r="H1169" t="s">
        <v>15</v>
      </c>
    </row>
    <row r="1170" spans="1:9">
      <c r="A1170" t="s">
        <v>530</v>
      </c>
      <c r="C1170" s="13">
        <v>1.9599999999999901E-8</v>
      </c>
      <c r="D1170" t="s">
        <v>13</v>
      </c>
      <c r="E1170" t="s">
        <v>83</v>
      </c>
      <c r="F1170" t="s">
        <v>174</v>
      </c>
      <c r="H1170" t="s">
        <v>15</v>
      </c>
    </row>
    <row r="1171" spans="1:9">
      <c r="A1171" t="s">
        <v>89</v>
      </c>
      <c r="C1171" s="13">
        <v>4.8999999999999796E-7</v>
      </c>
      <c r="D1171" t="s">
        <v>13</v>
      </c>
      <c r="E1171" t="s">
        <v>83</v>
      </c>
      <c r="F1171" t="s">
        <v>174</v>
      </c>
      <c r="H1171" t="s">
        <v>15</v>
      </c>
    </row>
    <row r="1172" spans="1:9">
      <c r="A1172" t="s">
        <v>531</v>
      </c>
      <c r="C1172" s="13">
        <v>1.95999999999999E-7</v>
      </c>
      <c r="D1172" t="s">
        <v>13</v>
      </c>
      <c r="E1172" t="s">
        <v>83</v>
      </c>
      <c r="F1172" t="s">
        <v>174</v>
      </c>
      <c r="H1172" t="s">
        <v>15</v>
      </c>
    </row>
    <row r="1173" spans="1:9">
      <c r="A1173" t="s">
        <v>166</v>
      </c>
      <c r="C1173" s="13">
        <v>1.2739999999999901E-7</v>
      </c>
      <c r="D1173" t="s">
        <v>13</v>
      </c>
      <c r="E1173" t="s">
        <v>83</v>
      </c>
      <c r="F1173" t="s">
        <v>208</v>
      </c>
      <c r="H1173" t="s">
        <v>15</v>
      </c>
    </row>
    <row r="1174" spans="1:9">
      <c r="A1174" t="s">
        <v>532</v>
      </c>
      <c r="C1174" s="13">
        <v>2.9399999999999799E-9</v>
      </c>
      <c r="D1174" t="s">
        <v>13</v>
      </c>
      <c r="E1174" t="s">
        <v>83</v>
      </c>
      <c r="F1174" t="s">
        <v>208</v>
      </c>
      <c r="H1174" t="s">
        <v>15</v>
      </c>
    </row>
    <row r="1175" spans="1:9">
      <c r="A1175" t="s">
        <v>533</v>
      </c>
      <c r="C1175" s="13">
        <v>4.8999999999999797E-8</v>
      </c>
      <c r="D1175" t="s">
        <v>13</v>
      </c>
      <c r="E1175" t="s">
        <v>83</v>
      </c>
      <c r="F1175" t="s">
        <v>208</v>
      </c>
      <c r="H1175" t="s">
        <v>15</v>
      </c>
    </row>
    <row r="1176" spans="1:9">
      <c r="A1176" t="s">
        <v>534</v>
      </c>
      <c r="C1176" s="13">
        <v>4.8999999999999797E-8</v>
      </c>
      <c r="D1176" t="s">
        <v>13</v>
      </c>
      <c r="E1176" t="s">
        <v>83</v>
      </c>
      <c r="F1176" t="s">
        <v>208</v>
      </c>
      <c r="H1176" t="s">
        <v>15</v>
      </c>
    </row>
    <row r="1177" spans="1:9">
      <c r="A1177" s="49"/>
      <c r="B1177" s="50"/>
      <c r="C1177" s="49"/>
      <c r="D1177" s="49"/>
      <c r="E1177" s="49"/>
      <c r="F1177" s="49"/>
      <c r="G1177" s="49"/>
      <c r="H1177" s="49"/>
      <c r="I1177" s="49"/>
    </row>
    <row r="1178" spans="1:9" ht="15.6">
      <c r="A1178" s="18" t="s">
        <v>1</v>
      </c>
      <c r="B1178" s="23" t="s">
        <v>559</v>
      </c>
    </row>
    <row r="1179" spans="1:9">
      <c r="A1179" s="24" t="s">
        <v>2</v>
      </c>
      <c r="B1179" s="13" t="s">
        <v>36</v>
      </c>
      <c r="H1179" s="55"/>
    </row>
    <row r="1180" spans="1:9">
      <c r="A1180" s="24" t="s">
        <v>3</v>
      </c>
      <c r="B1180" s="13">
        <v>1</v>
      </c>
      <c r="F1180" s="13"/>
      <c r="H1180" s="13"/>
    </row>
    <row r="1181" spans="1:9">
      <c r="A1181" s="24" t="s">
        <v>4</v>
      </c>
      <c r="B1181" s="13" t="s">
        <v>557</v>
      </c>
      <c r="F1181" s="13"/>
    </row>
    <row r="1182" spans="1:9">
      <c r="A1182" s="24" t="s">
        <v>5</v>
      </c>
      <c r="B1182" s="13" t="s">
        <v>59</v>
      </c>
      <c r="F1182" s="20"/>
    </row>
    <row r="1183" spans="1:9">
      <c r="A1183" s="24" t="s">
        <v>6</v>
      </c>
      <c r="B1183" s="13" t="s">
        <v>6</v>
      </c>
    </row>
    <row r="1184" spans="1:9">
      <c r="A1184" s="24" t="s">
        <v>57</v>
      </c>
      <c r="B1184" s="13" t="s">
        <v>558</v>
      </c>
    </row>
    <row r="1185" spans="1:9" ht="15.6">
      <c r="A1185" s="18" t="s">
        <v>7</v>
      </c>
      <c r="C1185" s="25"/>
      <c r="D1185" s="26"/>
      <c r="E1185" s="26"/>
      <c r="F1185" s="26"/>
      <c r="G1185" s="26"/>
      <c r="H1185" s="26"/>
      <c r="I1185" s="26"/>
    </row>
    <row r="1186" spans="1:9">
      <c r="A1186" s="24" t="s">
        <v>8</v>
      </c>
      <c r="B1186" s="23" t="s">
        <v>4</v>
      </c>
      <c r="C1186" s="30" t="s">
        <v>9</v>
      </c>
      <c r="D1186" s="24" t="s">
        <v>6</v>
      </c>
      <c r="E1186" s="24" t="s">
        <v>81</v>
      </c>
      <c r="F1186" s="24" t="s">
        <v>10</v>
      </c>
      <c r="G1186" s="24" t="s">
        <v>2</v>
      </c>
      <c r="H1186" s="24" t="s">
        <v>5</v>
      </c>
      <c r="I1186" s="24" t="s">
        <v>11</v>
      </c>
    </row>
    <row r="1187" spans="1:9">
      <c r="A1187" s="13" t="s">
        <v>559</v>
      </c>
      <c r="B1187" s="13" t="s">
        <v>557</v>
      </c>
      <c r="C1187">
        <v>1</v>
      </c>
      <c r="D1187" t="s">
        <v>6</v>
      </c>
      <c r="G1187" t="s">
        <v>36</v>
      </c>
      <c r="H1187" t="s">
        <v>18</v>
      </c>
    </row>
    <row r="1188" spans="1:9">
      <c r="A1188" t="s">
        <v>571</v>
      </c>
      <c r="B1188" s="13" t="s">
        <v>560</v>
      </c>
      <c r="C1188" s="65">
        <v>6</v>
      </c>
      <c r="D1188" t="s">
        <v>13</v>
      </c>
      <c r="G1188" t="s">
        <v>36</v>
      </c>
      <c r="H1188" t="s">
        <v>12</v>
      </c>
    </row>
    <row r="1189" spans="1:9">
      <c r="A1189" t="s">
        <v>561</v>
      </c>
      <c r="B1189" t="s">
        <v>561</v>
      </c>
      <c r="C1189" s="41">
        <v>6</v>
      </c>
      <c r="D1189" t="s">
        <v>13</v>
      </c>
      <c r="G1189" t="s">
        <v>36</v>
      </c>
      <c r="H1189" t="s">
        <v>12</v>
      </c>
    </row>
    <row r="1190" spans="1:9">
      <c r="A1190" t="s">
        <v>562</v>
      </c>
      <c r="B1190" t="s">
        <v>563</v>
      </c>
      <c r="C1190" s="41">
        <v>0.75</v>
      </c>
      <c r="D1190" t="s">
        <v>13</v>
      </c>
      <c r="G1190" t="s">
        <v>96</v>
      </c>
      <c r="H1190" t="s">
        <v>12</v>
      </c>
    </row>
    <row r="1191" spans="1:9">
      <c r="A1191" t="s">
        <v>564</v>
      </c>
      <c r="B1191" s="13" t="s">
        <v>565</v>
      </c>
      <c r="C1191" s="13">
        <v>0.75</v>
      </c>
      <c r="D1191" t="s">
        <v>13</v>
      </c>
      <c r="G1191" t="s">
        <v>96</v>
      </c>
      <c r="H1191" t="s">
        <v>12</v>
      </c>
    </row>
    <row r="1192" spans="1:9">
      <c r="A1192" t="s">
        <v>567</v>
      </c>
      <c r="B1192" s="13" t="s">
        <v>566</v>
      </c>
      <c r="C1192" s="13">
        <v>0.5</v>
      </c>
      <c r="D1192" t="s">
        <v>13</v>
      </c>
      <c r="G1192" t="s">
        <v>36</v>
      </c>
      <c r="H1192" t="s">
        <v>12</v>
      </c>
    </row>
    <row r="1193" spans="1:9">
      <c r="A1193" t="s">
        <v>568</v>
      </c>
      <c r="B1193" s="13" t="s">
        <v>569</v>
      </c>
      <c r="C1193" s="13">
        <v>0.05</v>
      </c>
      <c r="D1193" t="s">
        <v>13</v>
      </c>
      <c r="G1193" t="s">
        <v>96</v>
      </c>
      <c r="H1193" t="s">
        <v>12</v>
      </c>
    </row>
    <row r="1194" spans="1:9">
      <c r="A1194" t="s">
        <v>570</v>
      </c>
      <c r="B1194" s="13" t="s">
        <v>570</v>
      </c>
      <c r="C1194" s="13">
        <v>1</v>
      </c>
      <c r="D1194" t="s">
        <v>13</v>
      </c>
      <c r="G1194" t="s">
        <v>36</v>
      </c>
      <c r="H1194" t="s">
        <v>12</v>
      </c>
    </row>
    <row r="1195" spans="1:9">
      <c r="A1195" s="49"/>
      <c r="B1195" s="50"/>
      <c r="C1195" s="49"/>
      <c r="D1195" s="49"/>
      <c r="E1195" s="49"/>
      <c r="F1195" s="49"/>
      <c r="G1195" s="49"/>
      <c r="H1195" s="49"/>
      <c r="I1195" s="49"/>
    </row>
    <row r="1196" spans="1:9" ht="15.6">
      <c r="A1196" s="18" t="s">
        <v>1</v>
      </c>
      <c r="B1196" s="23" t="s">
        <v>687</v>
      </c>
    </row>
    <row r="1197" spans="1:9">
      <c r="A1197" s="24" t="s">
        <v>2</v>
      </c>
      <c r="B1197" s="13" t="s">
        <v>28</v>
      </c>
      <c r="H1197" s="55"/>
    </row>
    <row r="1198" spans="1:9">
      <c r="A1198" s="24" t="s">
        <v>3</v>
      </c>
      <c r="B1198" s="13">
        <v>1</v>
      </c>
      <c r="F1198" s="13"/>
      <c r="H1198" s="13"/>
    </row>
    <row r="1199" spans="1:9">
      <c r="A1199" s="24" t="s">
        <v>4</v>
      </c>
      <c r="B1199" s="13" t="s">
        <v>572</v>
      </c>
      <c r="F1199" s="13"/>
    </row>
    <row r="1200" spans="1:9">
      <c r="A1200" s="24" t="s">
        <v>5</v>
      </c>
      <c r="B1200" s="13" t="s">
        <v>59</v>
      </c>
      <c r="F1200" s="20"/>
    </row>
    <row r="1201" spans="1:9">
      <c r="A1201" s="24" t="s">
        <v>6</v>
      </c>
      <c r="B1201" s="13" t="s">
        <v>6</v>
      </c>
    </row>
    <row r="1202" spans="1:9">
      <c r="A1202" s="24" t="s">
        <v>57</v>
      </c>
      <c r="B1202" s="13" t="s">
        <v>685</v>
      </c>
    </row>
    <row r="1203" spans="1:9" ht="15.6">
      <c r="A1203" s="18" t="s">
        <v>7</v>
      </c>
      <c r="C1203" s="25"/>
      <c r="D1203" s="26"/>
      <c r="E1203" s="26"/>
      <c r="F1203" s="26"/>
      <c r="G1203" s="26"/>
      <c r="H1203" s="26"/>
      <c r="I1203" s="26"/>
    </row>
    <row r="1204" spans="1:9">
      <c r="A1204" s="24" t="s">
        <v>8</v>
      </c>
      <c r="B1204" s="23" t="s">
        <v>4</v>
      </c>
      <c r="C1204" s="30" t="s">
        <v>9</v>
      </c>
      <c r="D1204" s="24" t="s">
        <v>6</v>
      </c>
      <c r="E1204" s="24" t="s">
        <v>81</v>
      </c>
      <c r="F1204" s="24" t="s">
        <v>10</v>
      </c>
      <c r="G1204" s="24" t="s">
        <v>2</v>
      </c>
      <c r="H1204" s="24" t="s">
        <v>5</v>
      </c>
      <c r="I1204" s="24" t="s">
        <v>11</v>
      </c>
    </row>
    <row r="1205" spans="1:9">
      <c r="A1205" s="26" t="s">
        <v>687</v>
      </c>
      <c r="B1205" s="13" t="s">
        <v>572</v>
      </c>
      <c r="C1205">
        <v>1</v>
      </c>
      <c r="D1205" t="s">
        <v>6</v>
      </c>
      <c r="F1205" s="24"/>
      <c r="G1205" s="13" t="s">
        <v>28</v>
      </c>
      <c r="H1205" t="s">
        <v>18</v>
      </c>
      <c r="I1205" s="24"/>
    </row>
    <row r="1206" spans="1:9">
      <c r="A1206" t="s">
        <v>573</v>
      </c>
      <c r="B1206" t="s">
        <v>574</v>
      </c>
      <c r="C1206" s="65">
        <v>16.342900178832888</v>
      </c>
      <c r="D1206" t="s">
        <v>13</v>
      </c>
      <c r="G1206" t="s">
        <v>96</v>
      </c>
      <c r="H1206" t="s">
        <v>12</v>
      </c>
    </row>
    <row r="1207" spans="1:9">
      <c r="A1207" t="s">
        <v>575</v>
      </c>
      <c r="B1207" t="s">
        <v>576</v>
      </c>
      <c r="C1207" s="20">
        <v>19.763507193007214</v>
      </c>
      <c r="D1207" t="s">
        <v>13</v>
      </c>
      <c r="G1207" t="s">
        <v>96</v>
      </c>
      <c r="H1207" t="s">
        <v>12</v>
      </c>
    </row>
    <row r="1208" spans="1:9">
      <c r="A1208" t="s">
        <v>577</v>
      </c>
      <c r="B1208" t="s">
        <v>578</v>
      </c>
      <c r="C1208" s="20">
        <v>10.641888488542348</v>
      </c>
      <c r="D1208" t="s">
        <v>13</v>
      </c>
      <c r="G1208" t="s">
        <v>96</v>
      </c>
      <c r="H1208" t="s">
        <v>12</v>
      </c>
    </row>
    <row r="1209" spans="1:9">
      <c r="A1209" t="s">
        <v>579</v>
      </c>
      <c r="B1209" t="s">
        <v>580</v>
      </c>
      <c r="C1209" s="20">
        <v>50.54897032057616</v>
      </c>
      <c r="D1209" t="s">
        <v>13</v>
      </c>
      <c r="G1209" t="s">
        <v>96</v>
      </c>
      <c r="H1209" t="s">
        <v>12</v>
      </c>
    </row>
    <row r="1210" spans="1:9">
      <c r="A1210" t="s">
        <v>581</v>
      </c>
      <c r="B1210" t="s">
        <v>582</v>
      </c>
      <c r="C1210" s="20">
        <v>50.54897032057616</v>
      </c>
      <c r="D1210" t="s">
        <v>13</v>
      </c>
      <c r="G1210" t="s">
        <v>96</v>
      </c>
      <c r="H1210" t="s">
        <v>12</v>
      </c>
    </row>
    <row r="1211" spans="1:9">
      <c r="A1211" t="s">
        <v>583</v>
      </c>
      <c r="B1211" t="s">
        <v>584</v>
      </c>
      <c r="C1211" s="20">
        <v>16.076852966619338</v>
      </c>
      <c r="D1211" t="s">
        <v>13</v>
      </c>
      <c r="G1211" t="s">
        <v>96</v>
      </c>
      <c r="H1211" t="s">
        <v>12</v>
      </c>
    </row>
    <row r="1212" spans="1:9">
      <c r="A1212" t="s">
        <v>585</v>
      </c>
      <c r="B1212" t="s">
        <v>586</v>
      </c>
      <c r="C1212" s="20">
        <v>1.786316996291037</v>
      </c>
      <c r="D1212" t="s">
        <v>13</v>
      </c>
      <c r="G1212" t="s">
        <v>96</v>
      </c>
      <c r="H1212" t="s">
        <v>12</v>
      </c>
    </row>
    <row r="1213" spans="1:9">
      <c r="A1213" t="s">
        <v>587</v>
      </c>
      <c r="B1213" t="s">
        <v>588</v>
      </c>
      <c r="C1213" s="20">
        <v>6.5561634438341256</v>
      </c>
      <c r="D1213" t="s">
        <v>13</v>
      </c>
      <c r="G1213" t="s">
        <v>96</v>
      </c>
      <c r="H1213" t="s">
        <v>12</v>
      </c>
    </row>
    <row r="1214" spans="1:9">
      <c r="A1214" t="s">
        <v>589</v>
      </c>
      <c r="B1214" t="s">
        <v>590</v>
      </c>
      <c r="C1214" s="20">
        <v>6.5561634438341256</v>
      </c>
      <c r="D1214" t="s">
        <v>13</v>
      </c>
      <c r="G1214" t="s">
        <v>96</v>
      </c>
      <c r="H1214" t="s">
        <v>12</v>
      </c>
    </row>
    <row r="1215" spans="1:9">
      <c r="A1215" t="s">
        <v>591</v>
      </c>
      <c r="B1215" t="s">
        <v>592</v>
      </c>
      <c r="C1215" s="20">
        <v>6.5561634438341256</v>
      </c>
      <c r="D1215" t="s">
        <v>13</v>
      </c>
      <c r="G1215" t="s">
        <v>96</v>
      </c>
      <c r="H1215" t="s">
        <v>12</v>
      </c>
    </row>
    <row r="1216" spans="1:9">
      <c r="A1216" t="s">
        <v>593</v>
      </c>
      <c r="B1216" t="s">
        <v>594</v>
      </c>
      <c r="C1216" s="20">
        <v>6.5561634438341256</v>
      </c>
      <c r="D1216" t="s">
        <v>13</v>
      </c>
      <c r="G1216" t="s">
        <v>96</v>
      </c>
      <c r="H1216" t="s">
        <v>12</v>
      </c>
    </row>
    <row r="1217" spans="1:8">
      <c r="A1217" t="s">
        <v>595</v>
      </c>
      <c r="B1217" t="s">
        <v>596</v>
      </c>
      <c r="C1217" s="20">
        <v>6.5561634438341256</v>
      </c>
      <c r="D1217" t="s">
        <v>13</v>
      </c>
      <c r="G1217" t="s">
        <v>96</v>
      </c>
      <c r="H1217" t="s">
        <v>12</v>
      </c>
    </row>
    <row r="1218" spans="1:8">
      <c r="A1218" t="s">
        <v>597</v>
      </c>
      <c r="B1218" t="s">
        <v>598</v>
      </c>
      <c r="C1218" s="20">
        <v>6.5561634438341256</v>
      </c>
      <c r="D1218" t="s">
        <v>13</v>
      </c>
      <c r="G1218" t="s">
        <v>96</v>
      </c>
      <c r="H1218" t="s">
        <v>12</v>
      </c>
    </row>
    <row r="1219" spans="1:8">
      <c r="A1219" t="s">
        <v>599</v>
      </c>
      <c r="B1219" t="s">
        <v>600</v>
      </c>
      <c r="C1219" s="20">
        <v>6.5561634438341256</v>
      </c>
      <c r="D1219" t="s">
        <v>13</v>
      </c>
      <c r="G1219" t="s">
        <v>96</v>
      </c>
      <c r="H1219" t="s">
        <v>12</v>
      </c>
    </row>
    <row r="1220" spans="1:8">
      <c r="A1220" t="s">
        <v>601</v>
      </c>
      <c r="B1220" t="s">
        <v>602</v>
      </c>
      <c r="C1220" s="20">
        <v>6.5561634438341256</v>
      </c>
      <c r="D1220" t="s">
        <v>13</v>
      </c>
      <c r="G1220" t="s">
        <v>96</v>
      </c>
      <c r="H1220" t="s">
        <v>12</v>
      </c>
    </row>
    <row r="1221" spans="1:8">
      <c r="A1221" t="s">
        <v>603</v>
      </c>
      <c r="B1221" t="s">
        <v>604</v>
      </c>
      <c r="C1221" s="20">
        <v>6.5561634438341256</v>
      </c>
      <c r="D1221" t="s">
        <v>13</v>
      </c>
      <c r="G1221" t="s">
        <v>96</v>
      </c>
      <c r="H1221" t="s">
        <v>12</v>
      </c>
    </row>
    <row r="1222" spans="1:8">
      <c r="A1222" t="s">
        <v>605</v>
      </c>
      <c r="B1222" t="s">
        <v>606</v>
      </c>
      <c r="C1222" s="20">
        <v>6.5561634438341256</v>
      </c>
      <c r="D1222" t="s">
        <v>13</v>
      </c>
      <c r="G1222" t="s">
        <v>134</v>
      </c>
      <c r="H1222" t="s">
        <v>12</v>
      </c>
    </row>
    <row r="1223" spans="1:8">
      <c r="A1223" t="s">
        <v>607</v>
      </c>
      <c r="B1223" t="s">
        <v>608</v>
      </c>
      <c r="C1223" s="20">
        <v>6.5561634438341256</v>
      </c>
      <c r="D1223" t="s">
        <v>13</v>
      </c>
      <c r="G1223" t="s">
        <v>96</v>
      </c>
      <c r="H1223" t="s">
        <v>12</v>
      </c>
    </row>
    <row r="1224" spans="1:8">
      <c r="A1224" t="s">
        <v>609</v>
      </c>
      <c r="B1224" t="s">
        <v>610</v>
      </c>
      <c r="C1224" s="20">
        <v>6.5561634438341256</v>
      </c>
      <c r="D1224" t="s">
        <v>13</v>
      </c>
      <c r="G1224" t="s">
        <v>96</v>
      </c>
      <c r="H1224" t="s">
        <v>12</v>
      </c>
    </row>
    <row r="1225" spans="1:8">
      <c r="A1225" t="s">
        <v>611</v>
      </c>
      <c r="B1225" t="s">
        <v>612</v>
      </c>
      <c r="C1225" s="20">
        <v>6.5561634438341256</v>
      </c>
      <c r="D1225" t="s">
        <v>13</v>
      </c>
      <c r="G1225" t="s">
        <v>96</v>
      </c>
      <c r="H1225" t="s">
        <v>12</v>
      </c>
    </row>
    <row r="1226" spans="1:8">
      <c r="A1226" t="s">
        <v>613</v>
      </c>
      <c r="B1226" t="s">
        <v>614</v>
      </c>
      <c r="C1226" s="20">
        <v>6.5561634438341256</v>
      </c>
      <c r="D1226" t="s">
        <v>13</v>
      </c>
      <c r="G1226" t="s">
        <v>96</v>
      </c>
      <c r="H1226" t="s">
        <v>12</v>
      </c>
    </row>
    <row r="1227" spans="1:8">
      <c r="A1227" t="s">
        <v>615</v>
      </c>
      <c r="B1227" t="s">
        <v>616</v>
      </c>
      <c r="C1227" s="20">
        <v>6.5561634438341256</v>
      </c>
      <c r="D1227" t="s">
        <v>13</v>
      </c>
      <c r="G1227" t="s">
        <v>96</v>
      </c>
      <c r="H1227" t="s">
        <v>12</v>
      </c>
    </row>
    <row r="1228" spans="1:8">
      <c r="A1228" t="s">
        <v>617</v>
      </c>
      <c r="B1228" t="s">
        <v>618</v>
      </c>
      <c r="C1228" s="20">
        <v>6.5561634438341256</v>
      </c>
      <c r="D1228" t="s">
        <v>13</v>
      </c>
      <c r="G1228" t="s">
        <v>96</v>
      </c>
      <c r="H1228" t="s">
        <v>12</v>
      </c>
    </row>
    <row r="1229" spans="1:8">
      <c r="A1229" t="s">
        <v>619</v>
      </c>
      <c r="B1229" t="s">
        <v>620</v>
      </c>
      <c r="C1229" s="20">
        <v>6.5561634438341256</v>
      </c>
      <c r="D1229" t="s">
        <v>13</v>
      </c>
      <c r="G1229" t="s">
        <v>96</v>
      </c>
      <c r="H1229" t="s">
        <v>12</v>
      </c>
    </row>
    <row r="1230" spans="1:8">
      <c r="A1230" t="s">
        <v>621</v>
      </c>
      <c r="B1230" t="s">
        <v>622</v>
      </c>
      <c r="C1230" s="20">
        <v>6.5561634438341256</v>
      </c>
      <c r="D1230" t="s">
        <v>13</v>
      </c>
      <c r="G1230" t="s">
        <v>96</v>
      </c>
      <c r="H1230" t="s">
        <v>12</v>
      </c>
    </row>
    <row r="1231" spans="1:8">
      <c r="A1231" t="s">
        <v>623</v>
      </c>
      <c r="B1231" t="s">
        <v>624</v>
      </c>
      <c r="C1231" s="20">
        <v>6.5561634438341256</v>
      </c>
      <c r="D1231" t="s">
        <v>13</v>
      </c>
      <c r="G1231" t="s">
        <v>96</v>
      </c>
      <c r="H1231" t="s">
        <v>12</v>
      </c>
    </row>
    <row r="1232" spans="1:8">
      <c r="A1232" t="s">
        <v>625</v>
      </c>
      <c r="B1232" t="s">
        <v>626</v>
      </c>
      <c r="C1232" s="20">
        <v>6.5561634438341256</v>
      </c>
      <c r="D1232" t="s">
        <v>13</v>
      </c>
      <c r="G1232" t="s">
        <v>96</v>
      </c>
      <c r="H1232" t="s">
        <v>12</v>
      </c>
    </row>
    <row r="1233" spans="1:8">
      <c r="A1233" t="s">
        <v>627</v>
      </c>
      <c r="B1233" t="s">
        <v>628</v>
      </c>
      <c r="C1233" s="20">
        <v>10.397559416101323</v>
      </c>
      <c r="D1233" t="s">
        <v>13</v>
      </c>
      <c r="G1233" t="s">
        <v>96</v>
      </c>
      <c r="H1233" t="s">
        <v>12</v>
      </c>
    </row>
    <row r="1234" spans="1:8">
      <c r="A1234" t="s">
        <v>629</v>
      </c>
      <c r="B1234" t="s">
        <v>630</v>
      </c>
      <c r="C1234" s="20">
        <v>10.397559416101323</v>
      </c>
      <c r="D1234" t="s">
        <v>13</v>
      </c>
      <c r="G1234" t="s">
        <v>96</v>
      </c>
      <c r="H1234" t="s">
        <v>12</v>
      </c>
    </row>
    <row r="1235" spans="1:8">
      <c r="A1235" t="s">
        <v>631</v>
      </c>
      <c r="B1235" t="s">
        <v>632</v>
      </c>
      <c r="C1235" s="20">
        <v>10.397559416101323</v>
      </c>
      <c r="D1235" t="s">
        <v>13</v>
      </c>
      <c r="G1235" t="s">
        <v>96</v>
      </c>
      <c r="H1235" t="s">
        <v>12</v>
      </c>
    </row>
    <row r="1236" spans="1:8">
      <c r="A1236" t="s">
        <v>633</v>
      </c>
      <c r="B1236" t="s">
        <v>634</v>
      </c>
      <c r="C1236" s="20">
        <v>10.397559416101323</v>
      </c>
      <c r="D1236" t="s">
        <v>13</v>
      </c>
      <c r="G1236" t="s">
        <v>96</v>
      </c>
      <c r="H1236" t="s">
        <v>12</v>
      </c>
    </row>
    <row r="1237" spans="1:8">
      <c r="A1237" t="s">
        <v>635</v>
      </c>
      <c r="B1237" t="s">
        <v>636</v>
      </c>
      <c r="C1237" s="20">
        <v>10.397559416101323</v>
      </c>
      <c r="D1237" t="s">
        <v>13</v>
      </c>
      <c r="G1237" t="s">
        <v>96</v>
      </c>
      <c r="H1237" t="s">
        <v>12</v>
      </c>
    </row>
    <row r="1238" spans="1:8">
      <c r="A1238" t="s">
        <v>637</v>
      </c>
      <c r="B1238" t="s">
        <v>638</v>
      </c>
      <c r="C1238" s="20">
        <v>10.397559416101323</v>
      </c>
      <c r="D1238" t="s">
        <v>13</v>
      </c>
      <c r="G1238" t="s">
        <v>96</v>
      </c>
      <c r="H1238" t="s">
        <v>12</v>
      </c>
    </row>
    <row r="1239" spans="1:8">
      <c r="A1239" t="s">
        <v>639</v>
      </c>
      <c r="B1239" t="s">
        <v>640</v>
      </c>
      <c r="C1239" s="20">
        <v>10.397559416101323</v>
      </c>
      <c r="D1239" t="s">
        <v>13</v>
      </c>
      <c r="G1239" t="s">
        <v>96</v>
      </c>
      <c r="H1239" t="s">
        <v>12</v>
      </c>
    </row>
    <row r="1240" spans="1:8">
      <c r="A1240" t="s">
        <v>641</v>
      </c>
      <c r="B1240" t="s">
        <v>642</v>
      </c>
      <c r="C1240" s="20">
        <v>10.397559416101323</v>
      </c>
      <c r="D1240" t="s">
        <v>13</v>
      </c>
      <c r="G1240" t="s">
        <v>96</v>
      </c>
      <c r="H1240" t="s">
        <v>12</v>
      </c>
    </row>
    <row r="1241" spans="1:8">
      <c r="A1241" t="s">
        <v>643</v>
      </c>
      <c r="B1241" t="s">
        <v>644</v>
      </c>
      <c r="C1241" s="20">
        <v>10.397559416101323</v>
      </c>
      <c r="D1241" t="s">
        <v>13</v>
      </c>
      <c r="G1241" t="s">
        <v>96</v>
      </c>
      <c r="H1241" t="s">
        <v>12</v>
      </c>
    </row>
    <row r="1242" spans="1:8">
      <c r="A1242" t="s">
        <v>645</v>
      </c>
      <c r="B1242" t="s">
        <v>646</v>
      </c>
      <c r="C1242" s="20">
        <v>10.397559416101323</v>
      </c>
      <c r="D1242" t="s">
        <v>13</v>
      </c>
      <c r="G1242" t="s">
        <v>96</v>
      </c>
      <c r="H1242" t="s">
        <v>12</v>
      </c>
    </row>
    <row r="1243" spans="1:8">
      <c r="A1243" t="s">
        <v>647</v>
      </c>
      <c r="B1243" t="s">
        <v>648</v>
      </c>
      <c r="C1243" s="20">
        <v>10.397559416101323</v>
      </c>
      <c r="D1243" t="s">
        <v>13</v>
      </c>
      <c r="G1243" t="s">
        <v>96</v>
      </c>
      <c r="H1243" t="s">
        <v>12</v>
      </c>
    </row>
    <row r="1244" spans="1:8">
      <c r="A1244" t="s">
        <v>649</v>
      </c>
      <c r="B1244" t="s">
        <v>650</v>
      </c>
      <c r="C1244" s="20">
        <v>10.397559416101323</v>
      </c>
      <c r="D1244" t="s">
        <v>13</v>
      </c>
      <c r="G1244" t="s">
        <v>96</v>
      </c>
      <c r="H1244" t="s">
        <v>12</v>
      </c>
    </row>
    <row r="1245" spans="1:8">
      <c r="A1245" t="s">
        <v>651</v>
      </c>
      <c r="B1245" t="s">
        <v>652</v>
      </c>
      <c r="C1245" s="20">
        <v>10.397559416101323</v>
      </c>
      <c r="D1245" t="s">
        <v>13</v>
      </c>
      <c r="G1245" t="s">
        <v>96</v>
      </c>
      <c r="H1245" t="s">
        <v>12</v>
      </c>
    </row>
    <row r="1246" spans="1:8">
      <c r="A1246" t="s">
        <v>653</v>
      </c>
      <c r="B1246" t="s">
        <v>654</v>
      </c>
      <c r="C1246" s="20">
        <v>10.397559416101323</v>
      </c>
      <c r="D1246" t="s">
        <v>13</v>
      </c>
      <c r="G1246" t="s">
        <v>96</v>
      </c>
      <c r="H1246" t="s">
        <v>12</v>
      </c>
    </row>
    <row r="1247" spans="1:8">
      <c r="A1247" t="s">
        <v>655</v>
      </c>
      <c r="B1247" t="s">
        <v>656</v>
      </c>
      <c r="C1247" s="20">
        <v>1.3682428056697304</v>
      </c>
      <c r="D1247" t="s">
        <v>13</v>
      </c>
      <c r="G1247" t="s">
        <v>96</v>
      </c>
      <c r="H1247" t="s">
        <v>12</v>
      </c>
    </row>
    <row r="1248" spans="1:8">
      <c r="A1248" t="s">
        <v>657</v>
      </c>
      <c r="B1248" t="s">
        <v>658</v>
      </c>
      <c r="C1248" s="20">
        <v>1.3682428056697304</v>
      </c>
      <c r="D1248" t="s">
        <v>13</v>
      </c>
      <c r="G1248" t="s">
        <v>96</v>
      </c>
      <c r="H1248" t="s">
        <v>12</v>
      </c>
    </row>
    <row r="1249" spans="1:9">
      <c r="A1249" t="s">
        <v>659</v>
      </c>
      <c r="B1249" t="s">
        <v>660</v>
      </c>
      <c r="C1249" s="20">
        <v>1.3682428056697304</v>
      </c>
      <c r="D1249" t="s">
        <v>13</v>
      </c>
      <c r="G1249" t="s">
        <v>96</v>
      </c>
      <c r="H1249" t="s">
        <v>12</v>
      </c>
    </row>
    <row r="1250" spans="1:9">
      <c r="A1250" t="s">
        <v>661</v>
      </c>
      <c r="B1250" t="s">
        <v>662</v>
      </c>
      <c r="C1250" s="20">
        <v>1.3682428056697304</v>
      </c>
      <c r="D1250" t="s">
        <v>13</v>
      </c>
      <c r="G1250" t="s">
        <v>96</v>
      </c>
      <c r="H1250" t="s">
        <v>12</v>
      </c>
    </row>
    <row r="1251" spans="1:9">
      <c r="A1251" t="s">
        <v>663</v>
      </c>
      <c r="B1251" t="s">
        <v>664</v>
      </c>
      <c r="C1251" s="20">
        <v>1.3682428056697304</v>
      </c>
      <c r="D1251" t="s">
        <v>13</v>
      </c>
      <c r="G1251" t="s">
        <v>96</v>
      </c>
      <c r="H1251" t="s">
        <v>12</v>
      </c>
    </row>
    <row r="1252" spans="1:9">
      <c r="A1252" t="s">
        <v>665</v>
      </c>
      <c r="B1252" t="s">
        <v>666</v>
      </c>
      <c r="C1252" s="20">
        <v>12.668914867312317</v>
      </c>
      <c r="D1252" t="s">
        <v>13</v>
      </c>
      <c r="G1252" t="s">
        <v>96</v>
      </c>
      <c r="H1252" t="s">
        <v>12</v>
      </c>
    </row>
    <row r="1253" spans="1:9">
      <c r="A1253" t="s">
        <v>667</v>
      </c>
      <c r="B1253" t="s">
        <v>668</v>
      </c>
      <c r="C1253" s="20">
        <v>12.668914867312317</v>
      </c>
      <c r="D1253" t="s">
        <v>13</v>
      </c>
      <c r="G1253" t="s">
        <v>134</v>
      </c>
      <c r="H1253" t="s">
        <v>12</v>
      </c>
    </row>
    <row r="1254" spans="1:9">
      <c r="A1254" t="s">
        <v>669</v>
      </c>
      <c r="B1254" t="s">
        <v>670</v>
      </c>
      <c r="C1254" s="20">
        <v>12.668914867312317</v>
      </c>
      <c r="D1254" t="s">
        <v>13</v>
      </c>
      <c r="G1254" t="s">
        <v>96</v>
      </c>
      <c r="H1254" t="s">
        <v>12</v>
      </c>
    </row>
    <row r="1255" spans="1:9">
      <c r="A1255" t="s">
        <v>671</v>
      </c>
      <c r="B1255" t="s">
        <v>258</v>
      </c>
      <c r="C1255" s="20">
        <v>12.668914867312317</v>
      </c>
      <c r="D1255" t="s">
        <v>13</v>
      </c>
      <c r="G1255" t="s">
        <v>96</v>
      </c>
      <c r="H1255" t="s">
        <v>12</v>
      </c>
    </row>
    <row r="1256" spans="1:9">
      <c r="A1256" t="s">
        <v>672</v>
      </c>
      <c r="B1256" t="s">
        <v>673</v>
      </c>
      <c r="C1256" s="20">
        <v>12.668914867312317</v>
      </c>
      <c r="D1256" t="s">
        <v>13</v>
      </c>
      <c r="G1256" t="s">
        <v>134</v>
      </c>
      <c r="H1256" t="s">
        <v>12</v>
      </c>
    </row>
    <row r="1257" spans="1:9">
      <c r="A1257" t="s">
        <v>674</v>
      </c>
      <c r="B1257" t="s">
        <v>264</v>
      </c>
      <c r="C1257" s="20">
        <v>12.668914867312317</v>
      </c>
      <c r="D1257" t="s">
        <v>13</v>
      </c>
      <c r="G1257" t="s">
        <v>96</v>
      </c>
      <c r="H1257" t="s">
        <v>12</v>
      </c>
    </row>
    <row r="1258" spans="1:9">
      <c r="A1258" t="s">
        <v>675</v>
      </c>
      <c r="B1258" t="s">
        <v>676</v>
      </c>
      <c r="C1258" s="20">
        <v>7.6013489203873918</v>
      </c>
      <c r="D1258" t="s">
        <v>13</v>
      </c>
      <c r="G1258" t="s">
        <v>96</v>
      </c>
      <c r="H1258" t="s">
        <v>12</v>
      </c>
    </row>
    <row r="1259" spans="1:9">
      <c r="A1259" t="s">
        <v>677</v>
      </c>
      <c r="B1259" t="s">
        <v>678</v>
      </c>
      <c r="C1259" s="20">
        <v>9.5016861504842378</v>
      </c>
      <c r="D1259" t="s">
        <v>705</v>
      </c>
      <c r="G1259" t="s">
        <v>96</v>
      </c>
      <c r="H1259" t="s">
        <v>12</v>
      </c>
    </row>
    <row r="1260" spans="1:9">
      <c r="A1260" t="s">
        <v>679</v>
      </c>
      <c r="B1260" t="s">
        <v>680</v>
      </c>
      <c r="C1260" s="20">
        <v>1.1402023380581086</v>
      </c>
      <c r="D1260" t="s">
        <v>13</v>
      </c>
      <c r="G1260" t="s">
        <v>96</v>
      </c>
      <c r="H1260" t="s">
        <v>12</v>
      </c>
    </row>
    <row r="1261" spans="1:9">
      <c r="A1261" t="s">
        <v>681</v>
      </c>
      <c r="B1261" t="s">
        <v>682</v>
      </c>
      <c r="C1261" s="20">
        <v>1.900337230096848</v>
      </c>
      <c r="D1261" t="s">
        <v>13</v>
      </c>
      <c r="G1261" t="s">
        <v>96</v>
      </c>
      <c r="H1261" t="s">
        <v>12</v>
      </c>
    </row>
    <row r="1262" spans="1:9">
      <c r="A1262" t="s">
        <v>683</v>
      </c>
      <c r="B1262" t="s">
        <v>684</v>
      </c>
      <c r="C1262" s="20">
        <v>1.900337230096848</v>
      </c>
      <c r="D1262" t="s">
        <v>13</v>
      </c>
      <c r="G1262" t="s">
        <v>96</v>
      </c>
      <c r="H1262" t="s">
        <v>12</v>
      </c>
    </row>
    <row r="1263" spans="1:9">
      <c r="A1263" s="49"/>
      <c r="B1263" s="50"/>
      <c r="C1263" s="49"/>
      <c r="D1263" s="49"/>
      <c r="E1263" s="49"/>
      <c r="F1263" s="49"/>
      <c r="G1263" s="49"/>
      <c r="H1263" s="49"/>
      <c r="I1263" s="49"/>
    </row>
    <row r="1264" spans="1:9" ht="15.6">
      <c r="A1264" s="18" t="s">
        <v>1</v>
      </c>
      <c r="B1264" s="23" t="s">
        <v>538</v>
      </c>
    </row>
    <row r="1265" spans="1:9">
      <c r="A1265" s="24" t="s">
        <v>2</v>
      </c>
      <c r="B1265" s="13" t="s">
        <v>28</v>
      </c>
      <c r="H1265" s="55"/>
    </row>
    <row r="1266" spans="1:9">
      <c r="A1266" s="24" t="s">
        <v>3</v>
      </c>
      <c r="B1266" s="13">
        <v>1</v>
      </c>
      <c r="F1266" s="13"/>
      <c r="H1266" s="13"/>
    </row>
    <row r="1267" spans="1:9">
      <c r="A1267" s="24" t="s">
        <v>4</v>
      </c>
      <c r="B1267" s="13" t="s">
        <v>539</v>
      </c>
      <c r="D1267" s="63"/>
      <c r="F1267" s="13"/>
    </row>
    <row r="1268" spans="1:9">
      <c r="A1268" s="24" t="s">
        <v>5</v>
      </c>
      <c r="B1268" s="13" t="s">
        <v>59</v>
      </c>
      <c r="D1268" s="63"/>
      <c r="F1268" s="20"/>
    </row>
    <row r="1269" spans="1:9">
      <c r="A1269" s="24" t="s">
        <v>6</v>
      </c>
      <c r="B1269" s="13" t="s">
        <v>6</v>
      </c>
    </row>
    <row r="1270" spans="1:9">
      <c r="A1270" s="24" t="s">
        <v>57</v>
      </c>
    </row>
    <row r="1271" spans="1:9" ht="15.6">
      <c r="A1271" s="18" t="s">
        <v>7</v>
      </c>
      <c r="C1271" s="25"/>
      <c r="D1271" s="26"/>
      <c r="E1271" s="26"/>
      <c r="F1271" s="26"/>
      <c r="G1271" s="26"/>
      <c r="H1271" s="26"/>
      <c r="I1271" s="26"/>
    </row>
    <row r="1272" spans="1:9">
      <c r="A1272" s="24" t="s">
        <v>8</v>
      </c>
      <c r="B1272" s="23" t="s">
        <v>4</v>
      </c>
      <c r="C1272" s="30" t="s">
        <v>9</v>
      </c>
      <c r="D1272" s="24" t="s">
        <v>6</v>
      </c>
      <c r="E1272" s="24" t="s">
        <v>81</v>
      </c>
      <c r="F1272" s="24" t="s">
        <v>10</v>
      </c>
      <c r="G1272" s="24" t="s">
        <v>2</v>
      </c>
      <c r="H1272" s="24" t="s">
        <v>5</v>
      </c>
      <c r="I1272" s="24" t="s">
        <v>11</v>
      </c>
    </row>
    <row r="1273" spans="1:9">
      <c r="A1273" s="13" t="s">
        <v>538</v>
      </c>
      <c r="B1273" s="13" t="s">
        <v>539</v>
      </c>
      <c r="C1273">
        <v>1</v>
      </c>
      <c r="D1273" t="s">
        <v>6</v>
      </c>
      <c r="G1273" t="s">
        <v>28</v>
      </c>
      <c r="H1273" t="s">
        <v>18</v>
      </c>
    </row>
    <row r="1274" spans="1:9">
      <c r="A1274" t="s">
        <v>27</v>
      </c>
      <c r="B1274" s="13" t="s">
        <v>20</v>
      </c>
      <c r="C1274" s="41">
        <v>55.813953488372093</v>
      </c>
      <c r="D1274" t="s">
        <v>19</v>
      </c>
      <c r="G1274" t="s">
        <v>28</v>
      </c>
      <c r="H1274" t="s">
        <v>12</v>
      </c>
    </row>
    <row r="1275" spans="1:9">
      <c r="A1275" t="s">
        <v>542</v>
      </c>
      <c r="B1275" s="13" t="s">
        <v>543</v>
      </c>
      <c r="C1275" s="41">
        <v>35.986593406593407</v>
      </c>
      <c r="D1275" t="s">
        <v>13</v>
      </c>
      <c r="G1275" t="s">
        <v>134</v>
      </c>
      <c r="H1275" t="s">
        <v>12</v>
      </c>
      <c r="I1275" t="s">
        <v>546</v>
      </c>
    </row>
    <row r="1276" spans="1:9">
      <c r="A1276" t="s">
        <v>540</v>
      </c>
      <c r="B1276" t="s">
        <v>541</v>
      </c>
      <c r="C1276" s="41">
        <v>3.1007751937984399E-2</v>
      </c>
      <c r="D1276" t="s">
        <v>6</v>
      </c>
      <c r="G1276" t="s">
        <v>96</v>
      </c>
      <c r="H1276" t="s">
        <v>12</v>
      </c>
    </row>
    <row r="1277" spans="1:9">
      <c r="A1277" t="s">
        <v>544</v>
      </c>
      <c r="B1277" t="s">
        <v>545</v>
      </c>
      <c r="C1277" s="41">
        <v>4.6511627906976744E-2</v>
      </c>
      <c r="D1277" t="s">
        <v>6</v>
      </c>
      <c r="G1277" t="s">
        <v>96</v>
      </c>
      <c r="H1277" t="s">
        <v>12</v>
      </c>
    </row>
    <row r="1278" spans="1:9">
      <c r="A1278" t="s">
        <v>687</v>
      </c>
      <c r="B1278" s="13" t="s">
        <v>572</v>
      </c>
      <c r="C1278" s="41">
        <v>1</v>
      </c>
      <c r="D1278" t="s">
        <v>6</v>
      </c>
      <c r="G1278" t="s">
        <v>28</v>
      </c>
      <c r="H1278" t="s">
        <v>12</v>
      </c>
      <c r="I1278" t="s">
        <v>686</v>
      </c>
    </row>
    <row r="1279" spans="1:9">
      <c r="A1279" t="s">
        <v>32</v>
      </c>
      <c r="C1279" s="20">
        <f>3.085*$C$1275</f>
        <v>111.01864065934066</v>
      </c>
      <c r="D1279" t="s">
        <v>13</v>
      </c>
      <c r="E1279" t="s">
        <v>83</v>
      </c>
      <c r="F1279" t="s">
        <v>174</v>
      </c>
      <c r="H1279" t="s">
        <v>15</v>
      </c>
      <c r="I1279" t="s">
        <v>547</v>
      </c>
    </row>
    <row r="1280" spans="1:9">
      <c r="A1280" s="31" t="s">
        <v>478</v>
      </c>
      <c r="B1280" s="31"/>
      <c r="C1280" s="62">
        <f>0.0149*$C$1275</f>
        <v>0.53620024175824177</v>
      </c>
      <c r="D1280" s="26" t="s">
        <v>13</v>
      </c>
      <c r="E1280" s="26" t="s">
        <v>83</v>
      </c>
      <c r="F1280" s="31" t="s">
        <v>109</v>
      </c>
      <c r="G1280" s="31"/>
      <c r="H1280" s="26" t="s">
        <v>15</v>
      </c>
      <c r="I1280" t="s">
        <v>547</v>
      </c>
    </row>
    <row r="1281" spans="1:9">
      <c r="A1281" t="s">
        <v>86</v>
      </c>
      <c r="C1281" s="63">
        <f>0.000074*$C$1275</f>
        <v>2.6630079120879119E-3</v>
      </c>
      <c r="D1281" t="s">
        <v>13</v>
      </c>
      <c r="E1281" t="s">
        <v>83</v>
      </c>
      <c r="F1281" t="s">
        <v>174</v>
      </c>
      <c r="H1281" t="s">
        <v>15</v>
      </c>
      <c r="I1281" t="s">
        <v>547</v>
      </c>
    </row>
    <row r="1282" spans="1:9">
      <c r="A1282" t="s">
        <v>87</v>
      </c>
      <c r="C1282" s="20">
        <f>(0.98+0.78)/1000*$C$1275</f>
        <v>6.3336404395604395E-2</v>
      </c>
      <c r="D1282" t="s">
        <v>13</v>
      </c>
      <c r="E1282" t="s">
        <v>83</v>
      </c>
      <c r="F1282" t="s">
        <v>174</v>
      </c>
      <c r="H1282" t="s">
        <v>15</v>
      </c>
      <c r="I1282" t="s">
        <v>547</v>
      </c>
    </row>
    <row r="1283" spans="1:9">
      <c r="A1283" s="31" t="s">
        <v>142</v>
      </c>
      <c r="B1283" s="31"/>
      <c r="C1283" s="20">
        <f>0.01059*$C$1275</f>
        <v>0.38109802417582422</v>
      </c>
      <c r="D1283" s="26" t="s">
        <v>13</v>
      </c>
      <c r="E1283" s="26" t="s">
        <v>83</v>
      </c>
      <c r="F1283" s="31" t="s">
        <v>109</v>
      </c>
      <c r="G1283" s="31"/>
      <c r="H1283" s="26" t="s">
        <v>15</v>
      </c>
      <c r="I1283" t="s">
        <v>547</v>
      </c>
    </row>
    <row r="1284" spans="1:9">
      <c r="A1284" t="s">
        <v>85</v>
      </c>
      <c r="C1284" s="63">
        <f>0.000015*$C$1275</f>
        <v>5.3979890109890109E-4</v>
      </c>
      <c r="D1284" t="s">
        <v>13</v>
      </c>
      <c r="E1284" t="s">
        <v>83</v>
      </c>
      <c r="F1284" t="s">
        <v>174</v>
      </c>
      <c r="H1284" t="s">
        <v>15</v>
      </c>
      <c r="I1284" t="s">
        <v>547</v>
      </c>
    </row>
    <row r="1285" spans="1:9">
      <c r="A1285" t="s">
        <v>528</v>
      </c>
      <c r="C1285" s="63">
        <f>(0.00032+0.00001)*$C$1275</f>
        <v>1.1875575824175826E-2</v>
      </c>
      <c r="D1285" t="s">
        <v>13</v>
      </c>
      <c r="E1285" t="s">
        <v>83</v>
      </c>
      <c r="F1285" t="s">
        <v>174</v>
      </c>
      <c r="H1285" t="s">
        <v>15</v>
      </c>
      <c r="I1285" t="s">
        <v>547</v>
      </c>
    </row>
    <row r="1286" spans="1:9">
      <c r="A1286" t="s">
        <v>548</v>
      </c>
      <c r="C1286" s="63">
        <f>0.00002*$C$1275</f>
        <v>7.1973186813186819E-4</v>
      </c>
      <c r="D1286" t="s">
        <v>13</v>
      </c>
      <c r="E1286" t="s">
        <v>83</v>
      </c>
      <c r="F1286" t="s">
        <v>174</v>
      </c>
      <c r="H1286" t="s">
        <v>15</v>
      </c>
      <c r="I1286" t="s">
        <v>547</v>
      </c>
    </row>
    <row r="1287" spans="1:9">
      <c r="A1287" t="s">
        <v>89</v>
      </c>
      <c r="C1287" s="63">
        <f>0.00212*$C$1275</f>
        <v>7.6291578021978015E-2</v>
      </c>
      <c r="D1287" t="s">
        <v>13</v>
      </c>
      <c r="E1287" t="s">
        <v>83</v>
      </c>
      <c r="F1287" t="s">
        <v>174</v>
      </c>
      <c r="H1287" t="s">
        <v>15</v>
      </c>
      <c r="I1287" t="s">
        <v>547</v>
      </c>
    </row>
    <row r="1288" spans="1:9">
      <c r="A1288" s="49"/>
      <c r="B1288" s="50"/>
      <c r="C1288" s="49"/>
      <c r="D1288" s="49"/>
      <c r="E1288" s="49"/>
      <c r="F1288" s="49"/>
      <c r="G1288" s="49"/>
      <c r="H1288" s="49"/>
      <c r="I1288" s="49"/>
    </row>
    <row r="1289" spans="1:9" ht="15.6">
      <c r="A1289" s="18" t="s">
        <v>1</v>
      </c>
      <c r="B1289" s="23" t="s">
        <v>549</v>
      </c>
    </row>
    <row r="1290" spans="1:9">
      <c r="A1290" s="24" t="s">
        <v>2</v>
      </c>
      <c r="B1290" s="13" t="s">
        <v>28</v>
      </c>
      <c r="H1290" s="55"/>
    </row>
    <row r="1291" spans="1:9">
      <c r="A1291" s="24" t="s">
        <v>3</v>
      </c>
      <c r="B1291" s="13">
        <v>1</v>
      </c>
      <c r="F1291" s="13"/>
      <c r="H1291" s="13"/>
    </row>
    <row r="1292" spans="1:9">
      <c r="A1292" s="24" t="s">
        <v>4</v>
      </c>
      <c r="B1292" s="13" t="s">
        <v>550</v>
      </c>
      <c r="F1292" s="13"/>
    </row>
    <row r="1293" spans="1:9">
      <c r="A1293" s="24" t="s">
        <v>5</v>
      </c>
      <c r="B1293" s="13" t="s">
        <v>59</v>
      </c>
      <c r="F1293" s="20"/>
    </row>
    <row r="1294" spans="1:9">
      <c r="A1294" s="24" t="s">
        <v>6</v>
      </c>
      <c r="B1294" s="13" t="s">
        <v>6</v>
      </c>
    </row>
    <row r="1295" spans="1:9">
      <c r="A1295" s="24" t="s">
        <v>57</v>
      </c>
    </row>
    <row r="1296" spans="1:9" ht="15.6">
      <c r="A1296" s="18" t="s">
        <v>7</v>
      </c>
      <c r="C1296" s="25"/>
      <c r="D1296" s="26"/>
      <c r="E1296" s="26"/>
      <c r="F1296" s="26"/>
      <c r="G1296" s="26"/>
      <c r="H1296" s="26"/>
      <c r="I1296" s="26"/>
    </row>
    <row r="1297" spans="1:9">
      <c r="A1297" s="24" t="s">
        <v>8</v>
      </c>
      <c r="B1297" s="23" t="s">
        <v>4</v>
      </c>
      <c r="C1297" s="30" t="s">
        <v>9</v>
      </c>
      <c r="D1297" s="24" t="s">
        <v>6</v>
      </c>
      <c r="E1297" s="24" t="s">
        <v>81</v>
      </c>
      <c r="F1297" s="24" t="s">
        <v>10</v>
      </c>
      <c r="G1297" s="24" t="s">
        <v>2</v>
      </c>
      <c r="H1297" s="24" t="s">
        <v>5</v>
      </c>
      <c r="I1297" s="24" t="s">
        <v>11</v>
      </c>
    </row>
    <row r="1298" spans="1:9">
      <c r="A1298" s="13" t="s">
        <v>549</v>
      </c>
      <c r="B1298" s="13" t="s">
        <v>550</v>
      </c>
      <c r="C1298">
        <v>1</v>
      </c>
      <c r="D1298" t="s">
        <v>6</v>
      </c>
      <c r="G1298" t="s">
        <v>28</v>
      </c>
      <c r="H1298" t="s">
        <v>18</v>
      </c>
    </row>
    <row r="1299" spans="1:9">
      <c r="A1299" t="s">
        <v>27</v>
      </c>
      <c r="B1299" s="13" t="s">
        <v>20</v>
      </c>
      <c r="C1299" s="41">
        <v>55.813953488372093</v>
      </c>
      <c r="D1299" t="s">
        <v>19</v>
      </c>
      <c r="G1299" t="s">
        <v>28</v>
      </c>
      <c r="H1299" t="s">
        <v>12</v>
      </c>
    </row>
    <row r="1300" spans="1:9">
      <c r="A1300" t="s">
        <v>552</v>
      </c>
      <c r="B1300" s="13" t="s">
        <v>551</v>
      </c>
      <c r="C1300" s="64">
        <v>45.483055555555552</v>
      </c>
      <c r="D1300" t="s">
        <v>91</v>
      </c>
      <c r="G1300" t="s">
        <v>28</v>
      </c>
      <c r="H1300" t="s">
        <v>12</v>
      </c>
    </row>
    <row r="1301" spans="1:9">
      <c r="A1301" t="s">
        <v>540</v>
      </c>
      <c r="B1301" t="s">
        <v>541</v>
      </c>
      <c r="C1301" s="41">
        <v>3.1007751937984399E-2</v>
      </c>
      <c r="D1301" t="s">
        <v>6</v>
      </c>
      <c r="G1301" t="s">
        <v>96</v>
      </c>
      <c r="H1301" t="s">
        <v>12</v>
      </c>
    </row>
    <row r="1302" spans="1:9">
      <c r="A1302" t="s">
        <v>544</v>
      </c>
      <c r="B1302" t="s">
        <v>545</v>
      </c>
      <c r="C1302" s="41">
        <v>4.6511627906976744E-2</v>
      </c>
      <c r="D1302" t="s">
        <v>6</v>
      </c>
      <c r="G1302" t="s">
        <v>96</v>
      </c>
      <c r="H1302" t="s">
        <v>12</v>
      </c>
    </row>
    <row r="1303" spans="1:9">
      <c r="A1303" t="s">
        <v>687</v>
      </c>
      <c r="B1303" s="13" t="s">
        <v>572</v>
      </c>
      <c r="C1303" s="41">
        <v>1</v>
      </c>
      <c r="D1303" t="s">
        <v>6</v>
      </c>
      <c r="G1303" t="s">
        <v>28</v>
      </c>
      <c r="H1303" t="s">
        <v>12</v>
      </c>
      <c r="I1303" t="s">
        <v>686</v>
      </c>
    </row>
    <row r="1304" spans="1:9">
      <c r="A1304" t="s">
        <v>32</v>
      </c>
      <c r="C1304" s="20">
        <f>0.0555*36*$C$1300</f>
        <v>90.875144999999989</v>
      </c>
      <c r="D1304" t="s">
        <v>13</v>
      </c>
      <c r="E1304" t="s">
        <v>83</v>
      </c>
      <c r="F1304" t="s">
        <v>174</v>
      </c>
      <c r="H1304" t="s">
        <v>15</v>
      </c>
      <c r="I1304" t="s">
        <v>556</v>
      </c>
    </row>
    <row r="1305" spans="1:9">
      <c r="A1305" s="31" t="s">
        <v>478</v>
      </c>
      <c r="B1305" s="31"/>
      <c r="C1305" s="20">
        <f>0.000025*36*$C$1300</f>
        <v>4.0934749999999999E-2</v>
      </c>
      <c r="D1305" s="26" t="s">
        <v>13</v>
      </c>
      <c r="E1305" s="26" t="s">
        <v>83</v>
      </c>
      <c r="F1305" s="31" t="s">
        <v>109</v>
      </c>
      <c r="G1305" s="31"/>
      <c r="H1305" s="26" t="s">
        <v>15</v>
      </c>
      <c r="I1305" t="s">
        <v>556</v>
      </c>
    </row>
    <row r="1306" spans="1:9">
      <c r="A1306" t="s">
        <v>86</v>
      </c>
      <c r="C1306" s="13">
        <f>0.0000005*36*$C$1300</f>
        <v>8.1869499999999993E-4</v>
      </c>
      <c r="D1306" t="s">
        <v>13</v>
      </c>
      <c r="E1306" t="s">
        <v>83</v>
      </c>
      <c r="F1306" t="s">
        <v>174</v>
      </c>
      <c r="H1306" t="s">
        <v>15</v>
      </c>
      <c r="I1306" t="s">
        <v>556</v>
      </c>
    </row>
    <row r="1307" spans="1:9">
      <c r="A1307" t="s">
        <v>85</v>
      </c>
      <c r="C1307" s="13">
        <f>0.0000005*36*$C$1300</f>
        <v>8.1869499999999993E-4</v>
      </c>
      <c r="D1307" t="s">
        <v>13</v>
      </c>
      <c r="E1307" t="s">
        <v>83</v>
      </c>
      <c r="F1307" t="s">
        <v>174</v>
      </c>
      <c r="H1307" t="s">
        <v>15</v>
      </c>
      <c r="I1307" t="s">
        <v>556</v>
      </c>
    </row>
    <row r="1308" spans="1:9">
      <c r="A1308" t="s">
        <v>87</v>
      </c>
      <c r="C1308" s="13">
        <f>0.000026*36*$C$1300</f>
        <v>4.2572139999999994E-2</v>
      </c>
      <c r="D1308" t="s">
        <v>13</v>
      </c>
      <c r="E1308" t="s">
        <v>83</v>
      </c>
      <c r="F1308" t="s">
        <v>174</v>
      </c>
      <c r="H1308" t="s">
        <v>15</v>
      </c>
      <c r="I1308" t="s">
        <v>556</v>
      </c>
    </row>
    <row r="1309" spans="1:9">
      <c r="A1309" s="31" t="s">
        <v>142</v>
      </c>
      <c r="B1309" s="31"/>
      <c r="C1309" s="13">
        <f>0.000004*36*$C$1300</f>
        <v>6.5495599999999994E-3</v>
      </c>
      <c r="D1309" s="26" t="s">
        <v>13</v>
      </c>
      <c r="E1309" s="26" t="s">
        <v>83</v>
      </c>
      <c r="F1309" s="31" t="s">
        <v>109</v>
      </c>
      <c r="G1309" s="31"/>
      <c r="H1309" s="26" t="s">
        <v>15</v>
      </c>
      <c r="I1309" t="s">
        <v>556</v>
      </c>
    </row>
    <row r="1310" spans="1:9">
      <c r="A1310" t="s">
        <v>89</v>
      </c>
      <c r="C1310" s="13">
        <f>0.0000005*36*$C$1300</f>
        <v>8.1869499999999993E-4</v>
      </c>
      <c r="D1310" t="s">
        <v>13</v>
      </c>
      <c r="E1310" t="s">
        <v>83</v>
      </c>
      <c r="F1310" t="s">
        <v>174</v>
      </c>
      <c r="H1310" t="s">
        <v>15</v>
      </c>
      <c r="I1310" t="s">
        <v>556</v>
      </c>
    </row>
    <row r="1311" spans="1:9">
      <c r="A1311" t="s">
        <v>525</v>
      </c>
      <c r="C1311" s="13">
        <f>0.0000002*36*$C$1300</f>
        <v>3.2747799999999997E-4</v>
      </c>
      <c r="D1311" t="s">
        <v>13</v>
      </c>
      <c r="E1311" t="s">
        <v>555</v>
      </c>
      <c r="F1311" t="s">
        <v>174</v>
      </c>
      <c r="H1311" t="s">
        <v>15</v>
      </c>
      <c r="I1311" t="s">
        <v>556</v>
      </c>
    </row>
    <row r="1312" spans="1:9">
      <c r="A1312" t="s">
        <v>528</v>
      </c>
      <c r="C1312" s="13">
        <f>0.0000001*36*$C$1300</f>
        <v>1.6373899999999999E-4</v>
      </c>
      <c r="D1312" t="s">
        <v>13</v>
      </c>
      <c r="E1312" t="s">
        <v>555</v>
      </c>
      <c r="F1312" t="s">
        <v>174</v>
      </c>
      <c r="H1312" t="s">
        <v>15</v>
      </c>
      <c r="I1312" t="s">
        <v>556</v>
      </c>
    </row>
    <row r="1313" spans="1:9">
      <c r="A1313" s="49"/>
      <c r="B1313" s="50"/>
      <c r="C1313" s="49"/>
      <c r="D1313" s="49"/>
      <c r="E1313" s="49"/>
      <c r="F1313" s="49"/>
      <c r="G1313" s="49"/>
      <c r="H1313" s="49"/>
      <c r="I1313" s="49"/>
    </row>
    <row r="1314" spans="1:9" ht="15.6">
      <c r="A1314" s="18" t="s">
        <v>1</v>
      </c>
      <c r="B1314" s="23" t="s">
        <v>553</v>
      </c>
    </row>
    <row r="1315" spans="1:9">
      <c r="A1315" s="24" t="s">
        <v>2</v>
      </c>
      <c r="B1315" s="13" t="s">
        <v>28</v>
      </c>
      <c r="H1315" s="55"/>
    </row>
    <row r="1316" spans="1:9">
      <c r="A1316" s="24" t="s">
        <v>3</v>
      </c>
      <c r="B1316" s="13">
        <v>1</v>
      </c>
      <c r="F1316" s="13"/>
      <c r="H1316" s="13"/>
    </row>
    <row r="1317" spans="1:9">
      <c r="A1317" s="24" t="s">
        <v>4</v>
      </c>
      <c r="B1317" s="13" t="s">
        <v>554</v>
      </c>
      <c r="F1317" s="13"/>
    </row>
    <row r="1318" spans="1:9">
      <c r="A1318" s="24" t="s">
        <v>5</v>
      </c>
      <c r="B1318" s="13" t="s">
        <v>59</v>
      </c>
      <c r="F1318" s="20"/>
    </row>
    <row r="1319" spans="1:9">
      <c r="A1319" s="24" t="s">
        <v>6</v>
      </c>
      <c r="B1319" s="13" t="s">
        <v>6</v>
      </c>
    </row>
    <row r="1320" spans="1:9">
      <c r="A1320" s="24" t="s">
        <v>57</v>
      </c>
    </row>
    <row r="1321" spans="1:9" ht="15.6">
      <c r="A1321" s="18" t="s">
        <v>7</v>
      </c>
      <c r="C1321" s="25"/>
      <c r="D1321" s="26"/>
      <c r="E1321" s="26"/>
      <c r="F1321" s="26"/>
      <c r="G1321" s="26"/>
      <c r="H1321" s="26"/>
      <c r="I1321" s="26"/>
    </row>
    <row r="1322" spans="1:9">
      <c r="A1322" s="24" t="s">
        <v>8</v>
      </c>
      <c r="B1322" s="23" t="s">
        <v>4</v>
      </c>
      <c r="C1322" s="30" t="s">
        <v>9</v>
      </c>
      <c r="D1322" s="24" t="s">
        <v>6</v>
      </c>
      <c r="E1322" s="24" t="s">
        <v>81</v>
      </c>
      <c r="F1322" s="24" t="s">
        <v>10</v>
      </c>
      <c r="G1322" s="24" t="s">
        <v>2</v>
      </c>
      <c r="H1322" s="24" t="s">
        <v>5</v>
      </c>
      <c r="I1322" s="24" t="s">
        <v>11</v>
      </c>
    </row>
    <row r="1323" spans="1:9">
      <c r="A1323" s="13" t="s">
        <v>553</v>
      </c>
      <c r="B1323" s="13" t="s">
        <v>554</v>
      </c>
      <c r="C1323">
        <v>1</v>
      </c>
      <c r="D1323" t="s">
        <v>6</v>
      </c>
      <c r="G1323" t="s">
        <v>28</v>
      </c>
      <c r="H1323" t="s">
        <v>18</v>
      </c>
    </row>
    <row r="1324" spans="1:9">
      <c r="A1324" t="s">
        <v>27</v>
      </c>
      <c r="B1324" s="13" t="s">
        <v>20</v>
      </c>
      <c r="C1324" s="65">
        <f>55.8139534883721+454.830555555556</f>
        <v>510.64450904392805</v>
      </c>
      <c r="D1324" t="s">
        <v>19</v>
      </c>
      <c r="G1324" t="s">
        <v>28</v>
      </c>
      <c r="H1324" t="s">
        <v>12</v>
      </c>
    </row>
    <row r="1325" spans="1:9">
      <c r="A1325" t="s">
        <v>559</v>
      </c>
      <c r="B1325" t="s">
        <v>557</v>
      </c>
      <c r="C1325" s="41">
        <v>3.1007751937984399E-2</v>
      </c>
      <c r="D1325" t="s">
        <v>6</v>
      </c>
      <c r="G1325" t="s">
        <v>36</v>
      </c>
      <c r="H1325" t="s">
        <v>12</v>
      </c>
    </row>
    <row r="1326" spans="1:9">
      <c r="A1326" t="s">
        <v>544</v>
      </c>
      <c r="B1326" t="s">
        <v>545</v>
      </c>
      <c r="C1326" s="41">
        <v>4.6511627906976744E-2</v>
      </c>
      <c r="D1326" t="s">
        <v>6</v>
      </c>
      <c r="G1326" t="s">
        <v>96</v>
      </c>
      <c r="H1326" t="s">
        <v>12</v>
      </c>
    </row>
    <row r="1327" spans="1:9">
      <c r="A1327" t="s">
        <v>687</v>
      </c>
      <c r="B1327" s="13" t="s">
        <v>572</v>
      </c>
      <c r="C1327" s="41">
        <v>1</v>
      </c>
      <c r="D1327" t="s">
        <v>6</v>
      </c>
      <c r="G1327" t="s">
        <v>28</v>
      </c>
      <c r="H1327" t="s">
        <v>12</v>
      </c>
      <c r="I1327" t="s">
        <v>686</v>
      </c>
    </row>
    <row r="1328" spans="1:9">
      <c r="A1328" s="49"/>
      <c r="B1328" s="50"/>
      <c r="C1328" s="49"/>
      <c r="D1328" s="49"/>
      <c r="E1328" s="49"/>
      <c r="F1328" s="49"/>
      <c r="G1328" s="49"/>
      <c r="H1328" s="49"/>
      <c r="I1328" s="49"/>
    </row>
    <row r="1329" spans="1:9" ht="15.6">
      <c r="A1329" s="18" t="s">
        <v>1</v>
      </c>
      <c r="B1329" s="23" t="s">
        <v>689</v>
      </c>
    </row>
    <row r="1330" spans="1:9">
      <c r="A1330" s="24" t="s">
        <v>2</v>
      </c>
      <c r="B1330" s="13" t="s">
        <v>28</v>
      </c>
      <c r="H1330" s="55"/>
    </row>
    <row r="1331" spans="1:9">
      <c r="A1331" s="24" t="s">
        <v>3</v>
      </c>
      <c r="B1331" s="13">
        <v>1</v>
      </c>
      <c r="F1331" s="13"/>
      <c r="H1331" s="13"/>
    </row>
    <row r="1332" spans="1:9">
      <c r="A1332" s="24" t="s">
        <v>4</v>
      </c>
      <c r="B1332" s="13" t="s">
        <v>688</v>
      </c>
      <c r="F1332" s="13"/>
    </row>
    <row r="1333" spans="1:9">
      <c r="A1333" s="24" t="s">
        <v>5</v>
      </c>
      <c r="B1333" s="13" t="s">
        <v>59</v>
      </c>
      <c r="F1333" s="20"/>
    </row>
    <row r="1334" spans="1:9">
      <c r="A1334" s="24" t="s">
        <v>6</v>
      </c>
      <c r="B1334" s="13" t="s">
        <v>6</v>
      </c>
    </row>
    <row r="1335" spans="1:9">
      <c r="A1335" s="24" t="s">
        <v>57</v>
      </c>
    </row>
    <row r="1336" spans="1:9" ht="15.6">
      <c r="A1336" s="18" t="s">
        <v>7</v>
      </c>
      <c r="C1336" s="25"/>
      <c r="D1336" s="26"/>
      <c r="E1336" s="26"/>
      <c r="F1336" s="26"/>
      <c r="G1336" s="26"/>
      <c r="H1336" s="26"/>
      <c r="I1336" s="26"/>
    </row>
    <row r="1337" spans="1:9">
      <c r="A1337" s="24" t="s">
        <v>8</v>
      </c>
      <c r="B1337" s="23" t="s">
        <v>4</v>
      </c>
      <c r="C1337" s="30" t="s">
        <v>9</v>
      </c>
      <c r="D1337" s="24" t="s">
        <v>6</v>
      </c>
      <c r="E1337" s="24" t="s">
        <v>81</v>
      </c>
      <c r="F1337" s="24" t="s">
        <v>10</v>
      </c>
      <c r="G1337" s="24" t="s">
        <v>2</v>
      </c>
      <c r="H1337" s="24" t="s">
        <v>5</v>
      </c>
      <c r="I1337" s="24" t="s">
        <v>11</v>
      </c>
    </row>
    <row r="1338" spans="1:9">
      <c r="A1338" s="13" t="s">
        <v>689</v>
      </c>
      <c r="B1338" s="13" t="s">
        <v>688</v>
      </c>
      <c r="C1338">
        <v>1</v>
      </c>
      <c r="D1338" t="s">
        <v>6</v>
      </c>
      <c r="G1338" t="s">
        <v>28</v>
      </c>
      <c r="H1338" t="s">
        <v>18</v>
      </c>
    </row>
    <row r="1339" spans="1:9" s="13" customFormat="1">
      <c r="A1339" s="13" t="s">
        <v>690</v>
      </c>
      <c r="B1339" s="13" t="s">
        <v>488</v>
      </c>
      <c r="C1339" s="20">
        <v>2228.7496354420773</v>
      </c>
      <c r="D1339" t="s">
        <v>35</v>
      </c>
      <c r="G1339" s="13" t="s">
        <v>28</v>
      </c>
      <c r="H1339" s="13" t="s">
        <v>12</v>
      </c>
      <c r="I1339" s="13" t="s">
        <v>692</v>
      </c>
    </row>
    <row r="1340" spans="1:9">
      <c r="A1340" t="s">
        <v>27</v>
      </c>
      <c r="B1340" s="13" t="s">
        <v>20</v>
      </c>
      <c r="C1340" s="65">
        <v>11.624825581395351</v>
      </c>
      <c r="D1340" t="s">
        <v>19</v>
      </c>
      <c r="G1340" t="s">
        <v>28</v>
      </c>
      <c r="H1340" t="s">
        <v>12</v>
      </c>
      <c r="I1340" t="s">
        <v>691</v>
      </c>
    </row>
    <row r="1341" spans="1:9">
      <c r="A1341" t="s">
        <v>693</v>
      </c>
      <c r="B1341" t="s">
        <v>694</v>
      </c>
      <c r="C1341" s="41">
        <v>1</v>
      </c>
      <c r="D1341" t="s">
        <v>6</v>
      </c>
      <c r="G1341" t="s">
        <v>96</v>
      </c>
      <c r="H1341" t="s">
        <v>12</v>
      </c>
    </row>
    <row r="1342" spans="1:9">
      <c r="A1342" t="s">
        <v>695</v>
      </c>
      <c r="B1342" t="s">
        <v>696</v>
      </c>
      <c r="C1342" s="41">
        <v>9.7226201036316464</v>
      </c>
      <c r="D1342" t="s">
        <v>13</v>
      </c>
      <c r="G1342" t="s">
        <v>134</v>
      </c>
      <c r="H1342" t="s">
        <v>12</v>
      </c>
    </row>
    <row r="1343" spans="1:9">
      <c r="A1343" t="s">
        <v>697</v>
      </c>
      <c r="B1343" t="s">
        <v>698</v>
      </c>
      <c r="C1343" s="41">
        <v>1.4885317466709565E-2</v>
      </c>
      <c r="D1343" t="s">
        <v>13</v>
      </c>
      <c r="G1343" t="s">
        <v>134</v>
      </c>
      <c r="H1343" t="s">
        <v>12</v>
      </c>
    </row>
    <row r="1344" spans="1:9">
      <c r="A1344" t="s">
        <v>699</v>
      </c>
      <c r="B1344" t="s">
        <v>700</v>
      </c>
      <c r="C1344" s="41">
        <v>2.9533786710786259E-2</v>
      </c>
      <c r="D1344" t="s">
        <v>91</v>
      </c>
      <c r="G1344" t="s">
        <v>134</v>
      </c>
      <c r="H1344" t="s">
        <v>12</v>
      </c>
    </row>
    <row r="1345" spans="1:9">
      <c r="A1345" t="s">
        <v>701</v>
      </c>
      <c r="B1345" t="s">
        <v>702</v>
      </c>
      <c r="C1345" s="41">
        <v>0.12822525947672769</v>
      </c>
      <c r="D1345" t="s">
        <v>91</v>
      </c>
      <c r="G1345" t="s">
        <v>134</v>
      </c>
      <c r="H1345" t="s">
        <v>12</v>
      </c>
    </row>
    <row r="1346" spans="1:9">
      <c r="A1346" t="s">
        <v>703</v>
      </c>
      <c r="B1346" t="s">
        <v>704</v>
      </c>
      <c r="C1346" s="41">
        <v>17.155020006048819</v>
      </c>
      <c r="D1346" t="s">
        <v>13</v>
      </c>
      <c r="G1346" t="s">
        <v>96</v>
      </c>
      <c r="H1346" t="s">
        <v>12</v>
      </c>
    </row>
    <row r="1347" spans="1:9">
      <c r="A1347" s="49"/>
      <c r="B1347" s="50"/>
      <c r="C1347" s="49"/>
      <c r="D1347" s="49"/>
      <c r="E1347" s="49"/>
      <c r="F1347" s="49"/>
      <c r="G1347" s="49"/>
      <c r="H1347" s="49"/>
      <c r="I1347" s="49"/>
    </row>
    <row r="1348" spans="1:9" ht="15.6">
      <c r="A1348" s="18" t="s">
        <v>1</v>
      </c>
      <c r="B1348" s="23" t="s">
        <v>706</v>
      </c>
    </row>
    <row r="1349" spans="1:9">
      <c r="A1349" s="24" t="s">
        <v>2</v>
      </c>
      <c r="B1349" s="13" t="s">
        <v>28</v>
      </c>
      <c r="H1349" s="55"/>
    </row>
    <row r="1350" spans="1:9">
      <c r="A1350" s="24" t="s">
        <v>3</v>
      </c>
      <c r="B1350" s="13">
        <v>1</v>
      </c>
      <c r="F1350" s="13"/>
      <c r="H1350" s="13"/>
    </row>
    <row r="1351" spans="1:9">
      <c r="A1351" s="24" t="s">
        <v>4</v>
      </c>
      <c r="B1351" s="13" t="s">
        <v>707</v>
      </c>
      <c r="F1351" s="13"/>
    </row>
    <row r="1352" spans="1:9">
      <c r="A1352" s="24" t="s">
        <v>5</v>
      </c>
      <c r="B1352" s="13" t="s">
        <v>59</v>
      </c>
      <c r="F1352" s="20"/>
    </row>
    <row r="1353" spans="1:9">
      <c r="A1353" s="24" t="s">
        <v>6</v>
      </c>
      <c r="B1353" s="13" t="s">
        <v>6</v>
      </c>
    </row>
    <row r="1354" spans="1:9">
      <c r="A1354" s="24" t="s">
        <v>57</v>
      </c>
    </row>
    <row r="1355" spans="1:9" ht="15.6">
      <c r="A1355" s="18" t="s">
        <v>7</v>
      </c>
      <c r="C1355" s="25"/>
      <c r="D1355" s="26"/>
      <c r="E1355" s="26"/>
      <c r="F1355" s="26"/>
      <c r="G1355" s="26"/>
      <c r="H1355" s="26"/>
      <c r="I1355" s="26"/>
    </row>
    <row r="1356" spans="1:9">
      <c r="A1356" s="24" t="s">
        <v>8</v>
      </c>
      <c r="B1356" s="23" t="s">
        <v>4</v>
      </c>
      <c r="C1356" s="30" t="s">
        <v>9</v>
      </c>
      <c r="D1356" s="24" t="s">
        <v>6</v>
      </c>
      <c r="E1356" s="24" t="s">
        <v>81</v>
      </c>
      <c r="F1356" s="24" t="s">
        <v>10</v>
      </c>
      <c r="G1356" s="24" t="s">
        <v>2</v>
      </c>
      <c r="H1356" s="24" t="s">
        <v>5</v>
      </c>
      <c r="I1356" s="24" t="s">
        <v>11</v>
      </c>
    </row>
    <row r="1357" spans="1:9">
      <c r="A1357" s="13" t="s">
        <v>706</v>
      </c>
      <c r="B1357" s="13" t="s">
        <v>707</v>
      </c>
      <c r="C1357">
        <v>1</v>
      </c>
      <c r="D1357" t="s">
        <v>6</v>
      </c>
      <c r="G1357" t="s">
        <v>28</v>
      </c>
      <c r="H1357" t="s">
        <v>18</v>
      </c>
    </row>
    <row r="1358" spans="1:9">
      <c r="A1358" t="s">
        <v>27</v>
      </c>
      <c r="B1358" s="13" t="s">
        <v>20</v>
      </c>
      <c r="C1358" s="65">
        <v>68.516800000000003</v>
      </c>
      <c r="D1358" t="s">
        <v>19</v>
      </c>
      <c r="G1358" t="s">
        <v>28</v>
      </c>
      <c r="H1358" t="s">
        <v>12</v>
      </c>
    </row>
    <row r="1359" spans="1:9">
      <c r="A1359" t="s">
        <v>708</v>
      </c>
      <c r="B1359" t="s">
        <v>718</v>
      </c>
      <c r="C1359" s="41">
        <v>0.1</v>
      </c>
      <c r="D1359" t="s">
        <v>6</v>
      </c>
      <c r="G1359" t="s">
        <v>96</v>
      </c>
      <c r="H1359" t="s">
        <v>12</v>
      </c>
    </row>
    <row r="1360" spans="1:9">
      <c r="A1360" t="s">
        <v>709</v>
      </c>
      <c r="B1360" t="s">
        <v>719</v>
      </c>
      <c r="C1360" s="41">
        <v>0.4</v>
      </c>
      <c r="D1360" t="s">
        <v>13</v>
      </c>
      <c r="G1360" t="s">
        <v>96</v>
      </c>
      <c r="H1360" t="s">
        <v>12</v>
      </c>
    </row>
    <row r="1361" spans="1:9">
      <c r="A1361" t="s">
        <v>710</v>
      </c>
      <c r="B1361" t="s">
        <v>720</v>
      </c>
      <c r="C1361" s="41">
        <v>0.4</v>
      </c>
      <c r="D1361" t="s">
        <v>13</v>
      </c>
      <c r="G1361" t="s">
        <v>96</v>
      </c>
      <c r="H1361" t="s">
        <v>12</v>
      </c>
    </row>
    <row r="1362" spans="1:9">
      <c r="A1362" t="s">
        <v>711</v>
      </c>
      <c r="B1362" t="s">
        <v>721</v>
      </c>
      <c r="C1362" s="41">
        <v>0</v>
      </c>
      <c r="D1362" t="s">
        <v>13</v>
      </c>
      <c r="G1362" t="s">
        <v>96</v>
      </c>
      <c r="H1362" t="s">
        <v>12</v>
      </c>
    </row>
    <row r="1363" spans="1:9">
      <c r="A1363" t="s">
        <v>712</v>
      </c>
      <c r="B1363" t="s">
        <v>722</v>
      </c>
      <c r="C1363" s="41">
        <v>0</v>
      </c>
      <c r="D1363" t="s">
        <v>13</v>
      </c>
      <c r="G1363" t="s">
        <v>96</v>
      </c>
      <c r="H1363" t="s">
        <v>12</v>
      </c>
    </row>
    <row r="1364" spans="1:9">
      <c r="A1364" t="s">
        <v>713</v>
      </c>
      <c r="B1364" t="s">
        <v>723</v>
      </c>
      <c r="C1364" s="41">
        <v>0</v>
      </c>
      <c r="D1364" t="s">
        <v>13</v>
      </c>
      <c r="G1364" t="s">
        <v>96</v>
      </c>
      <c r="H1364" t="s">
        <v>12</v>
      </c>
    </row>
    <row r="1365" spans="1:9">
      <c r="A1365" t="s">
        <v>714</v>
      </c>
      <c r="B1365" t="s">
        <v>724</v>
      </c>
      <c r="C1365">
        <v>0</v>
      </c>
      <c r="D1365" t="s">
        <v>13</v>
      </c>
      <c r="G1365" t="s">
        <v>96</v>
      </c>
      <c r="H1365" t="s">
        <v>12</v>
      </c>
    </row>
    <row r="1366" spans="1:9">
      <c r="A1366" t="s">
        <v>715</v>
      </c>
      <c r="B1366" t="s">
        <v>725</v>
      </c>
      <c r="C1366">
        <v>0</v>
      </c>
      <c r="D1366" t="s">
        <v>13</v>
      </c>
      <c r="G1366" t="s">
        <v>96</v>
      </c>
      <c r="H1366" t="s">
        <v>12</v>
      </c>
    </row>
    <row r="1367" spans="1:9">
      <c r="A1367" t="s">
        <v>716</v>
      </c>
      <c r="B1367" t="s">
        <v>726</v>
      </c>
      <c r="C1367">
        <v>0.6</v>
      </c>
      <c r="D1367" t="s">
        <v>13</v>
      </c>
      <c r="G1367" t="s">
        <v>96</v>
      </c>
      <c r="H1367" t="s">
        <v>12</v>
      </c>
    </row>
    <row r="1368" spans="1:9">
      <c r="A1368" t="s">
        <v>717</v>
      </c>
      <c r="B1368" t="s">
        <v>727</v>
      </c>
      <c r="C1368">
        <v>1</v>
      </c>
      <c r="D1368" t="s">
        <v>13</v>
      </c>
      <c r="G1368" t="s">
        <v>134</v>
      </c>
      <c r="H1368" t="s">
        <v>12</v>
      </c>
    </row>
    <row r="1369" spans="1:9">
      <c r="A1369" s="49"/>
      <c r="B1369" s="50"/>
      <c r="C1369" s="49"/>
      <c r="D1369" s="49"/>
      <c r="E1369" s="49"/>
      <c r="F1369" s="49"/>
      <c r="G1369" s="49"/>
      <c r="H1369" s="49"/>
      <c r="I1369" s="49"/>
    </row>
    <row r="1370" spans="1:9" ht="15.6">
      <c r="A1370" s="18" t="s">
        <v>1</v>
      </c>
      <c r="B1370" s="23" t="s">
        <v>728</v>
      </c>
    </row>
    <row r="1371" spans="1:9">
      <c r="A1371" s="24" t="s">
        <v>2</v>
      </c>
      <c r="B1371" s="13" t="s">
        <v>28</v>
      </c>
      <c r="H1371" s="55"/>
    </row>
    <row r="1372" spans="1:9">
      <c r="A1372" s="24" t="s">
        <v>3</v>
      </c>
      <c r="B1372" s="13">
        <v>1</v>
      </c>
      <c r="F1372" s="13"/>
      <c r="H1372" s="13"/>
    </row>
    <row r="1373" spans="1:9">
      <c r="A1373" s="24" t="s">
        <v>4</v>
      </c>
      <c r="B1373" s="13" t="s">
        <v>729</v>
      </c>
      <c r="F1373" s="13"/>
    </row>
    <row r="1374" spans="1:9">
      <c r="A1374" s="24" t="s">
        <v>5</v>
      </c>
      <c r="B1374" s="13" t="s">
        <v>59</v>
      </c>
      <c r="F1374" s="20"/>
    </row>
    <row r="1375" spans="1:9">
      <c r="A1375" s="24" t="s">
        <v>6</v>
      </c>
      <c r="B1375" s="13" t="s">
        <v>6</v>
      </c>
    </row>
    <row r="1376" spans="1:9">
      <c r="A1376" s="24" t="s">
        <v>57</v>
      </c>
    </row>
    <row r="1377" spans="1:9" ht="15.6">
      <c r="A1377" s="18" t="s">
        <v>7</v>
      </c>
      <c r="C1377" s="25"/>
      <c r="D1377" s="26"/>
      <c r="E1377" s="26"/>
      <c r="F1377" s="26"/>
      <c r="G1377" s="26"/>
      <c r="H1377" s="26"/>
      <c r="I1377" s="26"/>
    </row>
    <row r="1378" spans="1:9">
      <c r="A1378" s="24" t="s">
        <v>8</v>
      </c>
      <c r="B1378" s="23" t="s">
        <v>4</v>
      </c>
      <c r="C1378" s="30" t="s">
        <v>9</v>
      </c>
      <c r="D1378" s="24" t="s">
        <v>6</v>
      </c>
      <c r="E1378" s="24" t="s">
        <v>81</v>
      </c>
      <c r="F1378" s="24" t="s">
        <v>10</v>
      </c>
      <c r="G1378" s="24" t="s">
        <v>2</v>
      </c>
      <c r="H1378" s="24" t="s">
        <v>5</v>
      </c>
      <c r="I1378" s="24" t="s">
        <v>11</v>
      </c>
    </row>
    <row r="1379" spans="1:9">
      <c r="A1379" s="13" t="s">
        <v>728</v>
      </c>
      <c r="B1379" s="13" t="s">
        <v>729</v>
      </c>
      <c r="C1379">
        <v>1</v>
      </c>
      <c r="D1379" t="s">
        <v>6</v>
      </c>
      <c r="G1379" t="s">
        <v>28</v>
      </c>
      <c r="H1379" t="s">
        <v>18</v>
      </c>
    </row>
    <row r="1380" spans="1:9">
      <c r="A1380" s="13" t="s">
        <v>730</v>
      </c>
      <c r="B1380" s="13" t="s">
        <v>488</v>
      </c>
      <c r="C1380" s="20">
        <v>1410.5830808917863</v>
      </c>
      <c r="D1380" t="s">
        <v>35</v>
      </c>
      <c r="E1380" s="13"/>
      <c r="F1380" s="13"/>
      <c r="G1380" s="13" t="s">
        <v>28</v>
      </c>
      <c r="H1380" s="13" t="s">
        <v>12</v>
      </c>
    </row>
    <row r="1381" spans="1:9">
      <c r="A1381" t="s">
        <v>27</v>
      </c>
      <c r="B1381" s="13" t="s">
        <v>20</v>
      </c>
      <c r="C1381" s="65">
        <v>58.887640000000005</v>
      </c>
      <c r="D1381" t="s">
        <v>19</v>
      </c>
      <c r="G1381" t="s">
        <v>28</v>
      </c>
      <c r="H1381" t="s">
        <v>12</v>
      </c>
      <c r="I1381" t="s">
        <v>691</v>
      </c>
    </row>
    <row r="1382" spans="1:9">
      <c r="A1382" t="s">
        <v>699</v>
      </c>
      <c r="B1382" t="s">
        <v>700</v>
      </c>
      <c r="C1382" s="41">
        <v>2.2536817079020791E-2</v>
      </c>
      <c r="D1382" t="s">
        <v>91</v>
      </c>
      <c r="G1382" t="s">
        <v>134</v>
      </c>
      <c r="H1382" t="s">
        <v>12</v>
      </c>
      <c r="I1382" t="s">
        <v>733</v>
      </c>
    </row>
    <row r="1383" spans="1:9">
      <c r="A1383" t="s">
        <v>701</v>
      </c>
      <c r="B1383" t="s">
        <v>702</v>
      </c>
      <c r="C1383" s="41">
        <v>2.2463377515747087E-2</v>
      </c>
      <c r="D1383" t="s">
        <v>91</v>
      </c>
      <c r="G1383" t="s">
        <v>134</v>
      </c>
      <c r="H1383" t="s">
        <v>12</v>
      </c>
      <c r="I1383" t="s">
        <v>733</v>
      </c>
    </row>
    <row r="1384" spans="1:9">
      <c r="A1384" t="s">
        <v>703</v>
      </c>
      <c r="B1384" t="s">
        <v>704</v>
      </c>
      <c r="C1384" s="41">
        <v>2.5508072892144331</v>
      </c>
      <c r="D1384" t="s">
        <v>13</v>
      </c>
      <c r="G1384" t="s">
        <v>96</v>
      </c>
      <c r="H1384" t="s">
        <v>12</v>
      </c>
      <c r="I1384" t="s">
        <v>733</v>
      </c>
    </row>
    <row r="1385" spans="1:9">
      <c r="A1385" t="s">
        <v>731</v>
      </c>
      <c r="B1385" t="s">
        <v>732</v>
      </c>
      <c r="C1385" s="41">
        <v>4.7112989220033237</v>
      </c>
      <c r="D1385" t="s">
        <v>13</v>
      </c>
      <c r="G1385" t="s">
        <v>96</v>
      </c>
      <c r="H1385" t="s">
        <v>12</v>
      </c>
      <c r="I1385" t="s">
        <v>733</v>
      </c>
    </row>
    <row r="1386" spans="1:9">
      <c r="A1386" t="s">
        <v>693</v>
      </c>
      <c r="B1386" t="s">
        <v>694</v>
      </c>
      <c r="C1386" s="41">
        <v>4</v>
      </c>
      <c r="D1386" t="s">
        <v>6</v>
      </c>
      <c r="G1386" t="s">
        <v>96</v>
      </c>
      <c r="H1386" t="s">
        <v>12</v>
      </c>
      <c r="I1386" t="s">
        <v>733</v>
      </c>
    </row>
    <row r="1387" spans="1:9">
      <c r="A1387" s="49"/>
      <c r="B1387" s="50"/>
      <c r="C1387" s="49"/>
      <c r="D1387" s="49"/>
      <c r="E1387" s="49"/>
      <c r="F1387" s="49"/>
      <c r="G1387" s="49"/>
      <c r="H1387" s="49"/>
      <c r="I1387" s="49"/>
    </row>
    <row r="1388" spans="1:9" ht="15.6">
      <c r="A1388" s="18" t="s">
        <v>1</v>
      </c>
      <c r="B1388" s="23" t="s">
        <v>734</v>
      </c>
    </row>
    <row r="1389" spans="1:9">
      <c r="A1389" s="24" t="s">
        <v>2</v>
      </c>
      <c r="B1389" s="13" t="s">
        <v>28</v>
      </c>
      <c r="H1389" s="55"/>
    </row>
    <row r="1390" spans="1:9">
      <c r="A1390" s="24" t="s">
        <v>3</v>
      </c>
      <c r="B1390" s="13">
        <v>1</v>
      </c>
      <c r="F1390" s="13"/>
      <c r="H1390" s="13"/>
    </row>
    <row r="1391" spans="1:9">
      <c r="A1391" s="24" t="s">
        <v>4</v>
      </c>
      <c r="B1391" s="13" t="s">
        <v>735</v>
      </c>
      <c r="F1391" s="13"/>
    </row>
    <row r="1392" spans="1:9">
      <c r="A1392" s="24" t="s">
        <v>5</v>
      </c>
      <c r="B1392" s="13" t="s">
        <v>59</v>
      </c>
      <c r="F1392" s="20"/>
    </row>
    <row r="1393" spans="1:9">
      <c r="A1393" s="24" t="s">
        <v>6</v>
      </c>
      <c r="B1393" s="13" t="s">
        <v>6</v>
      </c>
    </row>
    <row r="1394" spans="1:9">
      <c r="A1394" s="24" t="s">
        <v>57</v>
      </c>
    </row>
    <row r="1395" spans="1:9" ht="15.6">
      <c r="A1395" s="18" t="s">
        <v>7</v>
      </c>
      <c r="C1395" s="25"/>
      <c r="D1395" s="26"/>
      <c r="E1395" s="26"/>
      <c r="F1395" s="26"/>
      <c r="G1395" s="26"/>
      <c r="H1395" s="26"/>
      <c r="I1395" s="26"/>
    </row>
    <row r="1396" spans="1:9">
      <c r="A1396" s="24" t="s">
        <v>8</v>
      </c>
      <c r="B1396" s="23" t="s">
        <v>4</v>
      </c>
      <c r="C1396" s="30" t="s">
        <v>9</v>
      </c>
      <c r="D1396" s="24" t="s">
        <v>6</v>
      </c>
      <c r="E1396" s="24" t="s">
        <v>81</v>
      </c>
      <c r="F1396" s="24" t="s">
        <v>10</v>
      </c>
      <c r="G1396" s="24" t="s">
        <v>2</v>
      </c>
      <c r="H1396" s="24" t="s">
        <v>5</v>
      </c>
      <c r="I1396" s="24" t="s">
        <v>11</v>
      </c>
    </row>
    <row r="1397" spans="1:9">
      <c r="A1397" s="13" t="s">
        <v>734</v>
      </c>
      <c r="B1397" s="13" t="s">
        <v>735</v>
      </c>
      <c r="C1397">
        <v>1</v>
      </c>
      <c r="D1397" t="s">
        <v>6</v>
      </c>
      <c r="G1397" t="s">
        <v>28</v>
      </c>
      <c r="H1397" t="s">
        <v>18</v>
      </c>
    </row>
    <row r="1398" spans="1:9">
      <c r="A1398" s="13" t="s">
        <v>730</v>
      </c>
      <c r="B1398" s="13" t="s">
        <v>488</v>
      </c>
      <c r="C1398" s="20">
        <v>894.81948850800109</v>
      </c>
      <c r="D1398" t="s">
        <v>35</v>
      </c>
      <c r="E1398" s="13"/>
      <c r="F1398" s="13"/>
      <c r="G1398" s="13" t="s">
        <v>28</v>
      </c>
      <c r="H1398" s="13" t="s">
        <v>12</v>
      </c>
    </row>
    <row r="1399" spans="1:9">
      <c r="A1399" t="s">
        <v>27</v>
      </c>
      <c r="B1399" s="13" t="s">
        <v>20</v>
      </c>
      <c r="C1399" s="65">
        <v>36.161279999999998</v>
      </c>
      <c r="D1399" t="s">
        <v>19</v>
      </c>
      <c r="G1399" t="s">
        <v>28</v>
      </c>
      <c r="H1399" t="s">
        <v>12</v>
      </c>
      <c r="I1399" t="s">
        <v>691</v>
      </c>
    </row>
    <row r="1400" spans="1:9">
      <c r="A1400" t="s">
        <v>699</v>
      </c>
      <c r="B1400" t="s">
        <v>700</v>
      </c>
      <c r="C1400" s="41">
        <v>9.588780239886489E-3</v>
      </c>
      <c r="D1400" t="s">
        <v>91</v>
      </c>
      <c r="G1400" t="s">
        <v>134</v>
      </c>
      <c r="H1400" t="s">
        <v>12</v>
      </c>
      <c r="I1400" t="s">
        <v>733</v>
      </c>
    </row>
    <row r="1401" spans="1:9">
      <c r="A1401" t="s">
        <v>701</v>
      </c>
      <c r="B1401" t="s">
        <v>702</v>
      </c>
      <c r="C1401" s="41">
        <v>6.5376650045297548E-3</v>
      </c>
      <c r="D1401" t="s">
        <v>91</v>
      </c>
      <c r="G1401" t="s">
        <v>134</v>
      </c>
      <c r="H1401" t="s">
        <v>12</v>
      </c>
      <c r="I1401" t="s">
        <v>733</v>
      </c>
    </row>
    <row r="1402" spans="1:9">
      <c r="A1402" t="s">
        <v>703</v>
      </c>
      <c r="B1402" t="s">
        <v>704</v>
      </c>
      <c r="C1402" s="41">
        <v>0.91385899274745341</v>
      </c>
      <c r="D1402" t="s">
        <v>13</v>
      </c>
      <c r="G1402" t="s">
        <v>96</v>
      </c>
      <c r="H1402" t="s">
        <v>12</v>
      </c>
      <c r="I1402" t="s">
        <v>733</v>
      </c>
    </row>
    <row r="1403" spans="1:9">
      <c r="A1403" t="s">
        <v>731</v>
      </c>
      <c r="B1403" t="s">
        <v>732</v>
      </c>
      <c r="C1403" s="41">
        <v>2.6329079093854051</v>
      </c>
      <c r="D1403" t="s">
        <v>13</v>
      </c>
      <c r="G1403" t="s">
        <v>96</v>
      </c>
      <c r="H1403" t="s">
        <v>12</v>
      </c>
      <c r="I1403" t="s">
        <v>733</v>
      </c>
    </row>
    <row r="1404" spans="1:9">
      <c r="A1404" t="s">
        <v>693</v>
      </c>
      <c r="B1404" t="s">
        <v>694</v>
      </c>
      <c r="C1404" s="41">
        <v>4</v>
      </c>
      <c r="D1404" t="s">
        <v>6</v>
      </c>
      <c r="G1404" t="s">
        <v>96</v>
      </c>
      <c r="H1404" t="s">
        <v>12</v>
      </c>
      <c r="I1404" t="s">
        <v>733</v>
      </c>
    </row>
    <row r="1405" spans="1:9">
      <c r="A1405" s="49"/>
      <c r="B1405" s="50"/>
      <c r="C1405" s="49"/>
      <c r="D1405" s="49"/>
      <c r="E1405" s="49"/>
      <c r="F1405" s="49"/>
      <c r="G1405" s="49"/>
      <c r="H1405" s="49"/>
      <c r="I1405" s="49"/>
    </row>
    <row r="1406" spans="1:9" ht="15.6">
      <c r="A1406" s="18" t="s">
        <v>1</v>
      </c>
      <c r="B1406" s="23" t="s">
        <v>736</v>
      </c>
    </row>
    <row r="1407" spans="1:9">
      <c r="A1407" s="24" t="s">
        <v>2</v>
      </c>
      <c r="B1407" s="13" t="s">
        <v>28</v>
      </c>
      <c r="H1407" s="55"/>
    </row>
    <row r="1408" spans="1:9">
      <c r="A1408" s="24" t="s">
        <v>3</v>
      </c>
      <c r="B1408" s="13">
        <v>1</v>
      </c>
      <c r="F1408" s="13"/>
      <c r="H1408" s="13"/>
    </row>
    <row r="1409" spans="1:9">
      <c r="A1409" s="24" t="s">
        <v>4</v>
      </c>
      <c r="B1409" s="13" t="s">
        <v>737</v>
      </c>
      <c r="F1409" s="13"/>
    </row>
    <row r="1410" spans="1:9">
      <c r="A1410" s="24" t="s">
        <v>5</v>
      </c>
      <c r="B1410" s="13" t="s">
        <v>59</v>
      </c>
      <c r="F1410" s="20"/>
    </row>
    <row r="1411" spans="1:9">
      <c r="A1411" s="24" t="s">
        <v>6</v>
      </c>
      <c r="B1411" s="13" t="s">
        <v>6</v>
      </c>
    </row>
    <row r="1412" spans="1:9">
      <c r="A1412" s="24" t="s">
        <v>57</v>
      </c>
    </row>
    <row r="1413" spans="1:9" ht="15.6">
      <c r="A1413" s="18" t="s">
        <v>7</v>
      </c>
      <c r="C1413" s="25"/>
      <c r="D1413" s="26"/>
      <c r="E1413" s="26"/>
      <c r="F1413" s="26"/>
      <c r="G1413" s="26"/>
      <c r="H1413" s="26"/>
      <c r="I1413" s="26"/>
    </row>
    <row r="1414" spans="1:9">
      <c r="A1414" s="24" t="s">
        <v>8</v>
      </c>
      <c r="B1414" s="23" t="s">
        <v>4</v>
      </c>
      <c r="C1414" s="30" t="s">
        <v>9</v>
      </c>
      <c r="D1414" s="24" t="s">
        <v>6</v>
      </c>
      <c r="E1414" s="24" t="s">
        <v>81</v>
      </c>
      <c r="F1414" s="24" t="s">
        <v>10</v>
      </c>
      <c r="G1414" s="24" t="s">
        <v>2</v>
      </c>
      <c r="H1414" s="24" t="s">
        <v>5</v>
      </c>
      <c r="I1414" s="24" t="s">
        <v>11</v>
      </c>
    </row>
    <row r="1415" spans="1:9">
      <c r="A1415" s="13" t="s">
        <v>736</v>
      </c>
      <c r="B1415" s="13" t="s">
        <v>737</v>
      </c>
      <c r="C1415">
        <v>1</v>
      </c>
      <c r="D1415" t="s">
        <v>6</v>
      </c>
      <c r="G1415" t="s">
        <v>28</v>
      </c>
      <c r="H1415" t="s">
        <v>18</v>
      </c>
    </row>
    <row r="1416" spans="1:9">
      <c r="A1416" s="13" t="s">
        <v>730</v>
      </c>
      <c r="B1416" s="13" t="s">
        <v>488</v>
      </c>
      <c r="C1416" s="20">
        <v>1489.4729522387051</v>
      </c>
      <c r="D1416" t="s">
        <v>35</v>
      </c>
      <c r="E1416" s="13"/>
      <c r="F1416" s="13"/>
      <c r="G1416" s="13" t="s">
        <v>28</v>
      </c>
      <c r="H1416" s="13" t="s">
        <v>12</v>
      </c>
    </row>
    <row r="1417" spans="1:9">
      <c r="A1417" t="s">
        <v>27</v>
      </c>
      <c r="B1417" s="13" t="s">
        <v>20</v>
      </c>
      <c r="C1417" s="65">
        <v>24.169328609229943</v>
      </c>
      <c r="D1417" t="s">
        <v>19</v>
      </c>
      <c r="G1417" t="s">
        <v>28</v>
      </c>
      <c r="H1417" t="s">
        <v>12</v>
      </c>
      <c r="I1417" t="s">
        <v>691</v>
      </c>
    </row>
    <row r="1418" spans="1:9">
      <c r="A1418" t="s">
        <v>699</v>
      </c>
      <c r="B1418" t="s">
        <v>700</v>
      </c>
      <c r="C1418" s="41">
        <v>9.1578497118428651E-3</v>
      </c>
      <c r="D1418" t="s">
        <v>91</v>
      </c>
      <c r="G1418" t="s">
        <v>134</v>
      </c>
      <c r="H1418" t="s">
        <v>12</v>
      </c>
      <c r="I1418" t="s">
        <v>733</v>
      </c>
    </row>
    <row r="1419" spans="1:9">
      <c r="A1419" t="s">
        <v>701</v>
      </c>
      <c r="B1419" t="s">
        <v>702</v>
      </c>
      <c r="C1419" s="41">
        <v>8.1936173025088151E-3</v>
      </c>
      <c r="D1419" t="s">
        <v>91</v>
      </c>
      <c r="G1419" t="s">
        <v>134</v>
      </c>
      <c r="H1419" t="s">
        <v>12</v>
      </c>
      <c r="I1419" t="s">
        <v>733</v>
      </c>
    </row>
    <row r="1420" spans="1:9">
      <c r="A1420" t="s">
        <v>703</v>
      </c>
      <c r="B1420" t="s">
        <v>704</v>
      </c>
      <c r="C1420" s="41">
        <v>1.0519495105134982</v>
      </c>
      <c r="D1420" t="s">
        <v>13</v>
      </c>
      <c r="G1420" t="s">
        <v>96</v>
      </c>
      <c r="H1420" t="s">
        <v>12</v>
      </c>
      <c r="I1420" t="s">
        <v>733</v>
      </c>
    </row>
    <row r="1421" spans="1:9">
      <c r="A1421" t="s">
        <v>731</v>
      </c>
      <c r="B1421" t="s">
        <v>732</v>
      </c>
      <c r="C1421" s="41">
        <v>1.9865136400462349</v>
      </c>
      <c r="D1421" t="s">
        <v>13</v>
      </c>
      <c r="G1421" t="s">
        <v>96</v>
      </c>
      <c r="H1421" t="s">
        <v>12</v>
      </c>
      <c r="I1421" t="s">
        <v>733</v>
      </c>
    </row>
    <row r="1422" spans="1:9">
      <c r="A1422" t="s">
        <v>693</v>
      </c>
      <c r="B1422" t="s">
        <v>694</v>
      </c>
      <c r="C1422" s="41">
        <v>4</v>
      </c>
      <c r="D1422" t="s">
        <v>6</v>
      </c>
      <c r="G1422" t="s">
        <v>96</v>
      </c>
      <c r="H1422" t="s">
        <v>12</v>
      </c>
      <c r="I1422" t="s">
        <v>733</v>
      </c>
    </row>
    <row r="1423" spans="1:9">
      <c r="A1423" s="49"/>
      <c r="B1423" s="50"/>
      <c r="C1423" s="49"/>
      <c r="D1423" s="49"/>
      <c r="E1423" s="49"/>
      <c r="F1423" s="49"/>
      <c r="G1423" s="49"/>
      <c r="H1423" s="49"/>
      <c r="I1423" s="49"/>
    </row>
    <row r="1424" spans="1:9" ht="15.6">
      <c r="A1424" s="18" t="s">
        <v>1</v>
      </c>
      <c r="B1424" s="23" t="s">
        <v>738</v>
      </c>
    </row>
    <row r="1425" spans="1:9">
      <c r="A1425" s="24" t="s">
        <v>2</v>
      </c>
      <c r="B1425" s="13" t="s">
        <v>28</v>
      </c>
      <c r="H1425" s="55"/>
    </row>
    <row r="1426" spans="1:9">
      <c r="A1426" s="24" t="s">
        <v>3</v>
      </c>
      <c r="B1426" s="13">
        <v>1</v>
      </c>
      <c r="F1426" s="13"/>
      <c r="H1426" s="13"/>
    </row>
    <row r="1427" spans="1:9">
      <c r="A1427" s="24" t="s">
        <v>4</v>
      </c>
      <c r="B1427" s="13" t="s">
        <v>739</v>
      </c>
      <c r="F1427" s="13"/>
    </row>
    <row r="1428" spans="1:9">
      <c r="A1428" s="24" t="s">
        <v>5</v>
      </c>
      <c r="B1428" s="13" t="s">
        <v>59</v>
      </c>
      <c r="F1428" s="20"/>
    </row>
    <row r="1429" spans="1:9">
      <c r="A1429" s="24" t="s">
        <v>6</v>
      </c>
      <c r="B1429" s="13" t="s">
        <v>6</v>
      </c>
    </row>
    <row r="1430" spans="1:9">
      <c r="A1430" s="24" t="s">
        <v>57</v>
      </c>
    </row>
    <row r="1431" spans="1:9" ht="15.6">
      <c r="A1431" s="18" t="s">
        <v>7</v>
      </c>
      <c r="C1431" s="25"/>
      <c r="D1431" s="26"/>
      <c r="E1431" s="26"/>
      <c r="F1431" s="26"/>
      <c r="G1431" s="26"/>
      <c r="H1431" s="26"/>
      <c r="I1431" s="26"/>
    </row>
    <row r="1432" spans="1:9">
      <c r="A1432" s="24" t="s">
        <v>8</v>
      </c>
      <c r="B1432" s="23" t="s">
        <v>4</v>
      </c>
      <c r="C1432" s="30" t="s">
        <v>9</v>
      </c>
      <c r="D1432" s="24" t="s">
        <v>6</v>
      </c>
      <c r="E1432" s="24" t="s">
        <v>81</v>
      </c>
      <c r="F1432" s="24" t="s">
        <v>10</v>
      </c>
      <c r="G1432" s="24" t="s">
        <v>2</v>
      </c>
      <c r="H1432" s="24" t="s">
        <v>5</v>
      </c>
      <c r="I1432" s="24" t="s">
        <v>11</v>
      </c>
    </row>
    <row r="1433" spans="1:9">
      <c r="A1433" s="13" t="s">
        <v>738</v>
      </c>
      <c r="B1433" s="13" t="s">
        <v>739</v>
      </c>
      <c r="C1433">
        <v>1</v>
      </c>
      <c r="D1433" t="s">
        <v>6</v>
      </c>
      <c r="G1433" t="s">
        <v>28</v>
      </c>
      <c r="H1433" t="s">
        <v>18</v>
      </c>
    </row>
    <row r="1434" spans="1:9">
      <c r="A1434" s="13" t="s">
        <v>730</v>
      </c>
      <c r="B1434" s="13" t="s">
        <v>488</v>
      </c>
      <c r="C1434" s="20">
        <v>1263.1449007073684</v>
      </c>
      <c r="D1434" t="s">
        <v>35</v>
      </c>
      <c r="E1434" s="13"/>
      <c r="F1434" s="13"/>
      <c r="G1434" s="13" t="s">
        <v>28</v>
      </c>
      <c r="H1434" s="13" t="s">
        <v>12</v>
      </c>
    </row>
    <row r="1435" spans="1:9">
      <c r="A1435" t="s">
        <v>740</v>
      </c>
      <c r="B1435" t="s">
        <v>31</v>
      </c>
      <c r="C1435" s="36">
        <v>18250</v>
      </c>
      <c r="D1435" t="s">
        <v>13</v>
      </c>
      <c r="G1435" t="s">
        <v>96</v>
      </c>
      <c r="H1435" t="s">
        <v>12</v>
      </c>
      <c r="I1435" t="s">
        <v>733</v>
      </c>
    </row>
    <row r="1436" spans="1:9">
      <c r="A1436" t="s">
        <v>742</v>
      </c>
      <c r="B1436" t="s">
        <v>743</v>
      </c>
      <c r="C1436" s="20">
        <v>-529.99999999999989</v>
      </c>
      <c r="D1436" t="s">
        <v>13</v>
      </c>
      <c r="G1436" t="s">
        <v>28</v>
      </c>
      <c r="H1436" t="s">
        <v>12</v>
      </c>
      <c r="I1436" t="s">
        <v>744</v>
      </c>
    </row>
    <row r="1437" spans="1:9">
      <c r="A1437" t="s">
        <v>741</v>
      </c>
      <c r="B1437" t="s">
        <v>461</v>
      </c>
      <c r="C1437" s="20">
        <v>-18.25</v>
      </c>
      <c r="D1437" t="s">
        <v>91</v>
      </c>
      <c r="G1437" t="s">
        <v>134</v>
      </c>
      <c r="H1437" t="s">
        <v>12</v>
      </c>
    </row>
    <row r="1438" spans="1:9">
      <c r="A1438" s="49"/>
      <c r="B1438" s="50"/>
      <c r="C1438" s="49"/>
      <c r="D1438" s="49"/>
      <c r="E1438" s="49"/>
      <c r="F1438" s="49"/>
      <c r="G1438" s="49"/>
      <c r="H1438" s="49"/>
      <c r="I1438" s="49"/>
    </row>
    <row r="1439" spans="1:9" ht="15.6">
      <c r="A1439" s="18" t="s">
        <v>1</v>
      </c>
      <c r="B1439" s="23" t="s">
        <v>745</v>
      </c>
    </row>
    <row r="1440" spans="1:9">
      <c r="A1440" s="24" t="s">
        <v>2</v>
      </c>
      <c r="B1440" s="13" t="s">
        <v>28</v>
      </c>
      <c r="H1440" s="55"/>
    </row>
    <row r="1441" spans="1:9">
      <c r="A1441" s="24" t="s">
        <v>3</v>
      </c>
      <c r="B1441" s="13">
        <v>1</v>
      </c>
      <c r="F1441" s="13"/>
      <c r="H1441" s="13"/>
    </row>
    <row r="1442" spans="1:9">
      <c r="A1442" s="24" t="s">
        <v>4</v>
      </c>
      <c r="B1442" s="13" t="s">
        <v>746</v>
      </c>
      <c r="F1442" s="13"/>
    </row>
    <row r="1443" spans="1:9">
      <c r="A1443" s="24" t="s">
        <v>5</v>
      </c>
      <c r="B1443" s="13" t="s">
        <v>59</v>
      </c>
      <c r="F1443" s="20"/>
    </row>
    <row r="1444" spans="1:9">
      <c r="A1444" s="24" t="s">
        <v>6</v>
      </c>
      <c r="B1444" s="13" t="s">
        <v>6</v>
      </c>
    </row>
    <row r="1445" spans="1:9">
      <c r="A1445" s="24" t="s">
        <v>57</v>
      </c>
    </row>
    <row r="1446" spans="1:9" ht="15.6">
      <c r="A1446" s="18" t="s">
        <v>7</v>
      </c>
      <c r="C1446" s="25"/>
      <c r="D1446" s="26"/>
      <c r="E1446" s="26"/>
      <c r="F1446" s="26"/>
      <c r="G1446" s="26"/>
      <c r="H1446" s="26"/>
      <c r="I1446" s="26"/>
    </row>
    <row r="1447" spans="1:9">
      <c r="A1447" s="24" t="s">
        <v>8</v>
      </c>
      <c r="B1447" s="23" t="s">
        <v>4</v>
      </c>
      <c r="C1447" s="30" t="s">
        <v>9</v>
      </c>
      <c r="D1447" s="24" t="s">
        <v>6</v>
      </c>
      <c r="E1447" s="24" t="s">
        <v>81</v>
      </c>
      <c r="F1447" s="24" t="s">
        <v>10</v>
      </c>
      <c r="G1447" s="24" t="s">
        <v>2</v>
      </c>
      <c r="H1447" s="24" t="s">
        <v>5</v>
      </c>
      <c r="I1447" s="24" t="s">
        <v>11</v>
      </c>
    </row>
    <row r="1448" spans="1:9">
      <c r="A1448" s="13" t="s">
        <v>745</v>
      </c>
      <c r="B1448" s="13" t="s">
        <v>746</v>
      </c>
      <c r="C1448">
        <v>1</v>
      </c>
      <c r="D1448" t="s">
        <v>6</v>
      </c>
      <c r="G1448" t="s">
        <v>28</v>
      </c>
      <c r="H1448" t="s">
        <v>18</v>
      </c>
    </row>
    <row r="1449" spans="1:9">
      <c r="A1449" t="s">
        <v>27</v>
      </c>
      <c r="B1449" s="13" t="s">
        <v>20</v>
      </c>
      <c r="C1449" s="65">
        <v>191.99835548282837</v>
      </c>
      <c r="D1449" t="s">
        <v>19</v>
      </c>
      <c r="G1449" t="s">
        <v>28</v>
      </c>
      <c r="H1449" t="s">
        <v>12</v>
      </c>
      <c r="I1449" t="s">
        <v>753</v>
      </c>
    </row>
    <row r="1450" spans="1:9">
      <c r="A1450" t="s">
        <v>747</v>
      </c>
      <c r="B1450" t="s">
        <v>748</v>
      </c>
      <c r="C1450">
        <v>0.34714397042969852</v>
      </c>
      <c r="D1450" t="s">
        <v>6</v>
      </c>
      <c r="G1450" t="s">
        <v>96</v>
      </c>
      <c r="H1450" t="s">
        <v>12</v>
      </c>
      <c r="I1450" t="s">
        <v>753</v>
      </c>
    </row>
    <row r="1451" spans="1:9">
      <c r="A1451" t="s">
        <v>749</v>
      </c>
      <c r="B1451" t="s">
        <v>750</v>
      </c>
      <c r="C1451">
        <v>0.10335917312661498</v>
      </c>
      <c r="D1451" t="s">
        <v>6</v>
      </c>
      <c r="G1451" t="s">
        <v>96</v>
      </c>
      <c r="H1451" t="s">
        <v>12</v>
      </c>
      <c r="I1451" t="s">
        <v>753</v>
      </c>
    </row>
    <row r="1452" spans="1:9">
      <c r="A1452" t="s">
        <v>751</v>
      </c>
      <c r="B1452" t="s">
        <v>752</v>
      </c>
      <c r="C1452">
        <v>7.7519379844961239E-2</v>
      </c>
      <c r="D1452" t="s">
        <v>6</v>
      </c>
      <c r="G1452" t="s">
        <v>96</v>
      </c>
      <c r="H1452" t="s">
        <v>12</v>
      </c>
      <c r="I1452" t="s">
        <v>753</v>
      </c>
    </row>
    <row r="1453" spans="1:9">
      <c r="A1453" s="49"/>
      <c r="B1453" s="50"/>
      <c r="C1453" s="49"/>
      <c r="D1453" s="49"/>
      <c r="E1453" s="49"/>
      <c r="F1453" s="49"/>
      <c r="G1453" s="49"/>
      <c r="H1453" s="49"/>
      <c r="I1453" s="49"/>
    </row>
    <row r="1454" spans="1:9" ht="15.6">
      <c r="A1454" s="18" t="s">
        <v>1</v>
      </c>
      <c r="B1454" s="23" t="s">
        <v>754</v>
      </c>
    </row>
    <row r="1455" spans="1:9">
      <c r="A1455" s="24" t="s">
        <v>2</v>
      </c>
      <c r="B1455" s="13" t="s">
        <v>28</v>
      </c>
      <c r="H1455" s="55"/>
    </row>
    <row r="1456" spans="1:9">
      <c r="A1456" s="24" t="s">
        <v>3</v>
      </c>
      <c r="B1456" s="13">
        <v>1</v>
      </c>
      <c r="F1456" s="13"/>
      <c r="H1456" s="13"/>
    </row>
    <row r="1457" spans="1:9">
      <c r="A1457" s="24" t="s">
        <v>4</v>
      </c>
      <c r="B1457" s="13" t="s">
        <v>755</v>
      </c>
      <c r="F1457" s="13"/>
    </row>
    <row r="1458" spans="1:9">
      <c r="A1458" s="24" t="s">
        <v>5</v>
      </c>
      <c r="B1458" s="13" t="s">
        <v>59</v>
      </c>
      <c r="F1458" s="20"/>
    </row>
    <row r="1459" spans="1:9">
      <c r="A1459" s="24" t="s">
        <v>6</v>
      </c>
      <c r="B1459" s="13" t="s">
        <v>6</v>
      </c>
    </row>
    <row r="1460" spans="1:9">
      <c r="A1460" s="24" t="s">
        <v>57</v>
      </c>
    </row>
    <row r="1461" spans="1:9" ht="15.6">
      <c r="A1461" s="18" t="s">
        <v>7</v>
      </c>
      <c r="C1461" s="25"/>
      <c r="D1461" s="26"/>
      <c r="E1461" s="26"/>
      <c r="F1461" s="26"/>
      <c r="G1461" s="26"/>
      <c r="H1461" s="26"/>
      <c r="I1461" s="26"/>
    </row>
    <row r="1462" spans="1:9">
      <c r="A1462" s="24" t="s">
        <v>8</v>
      </c>
      <c r="B1462" s="23" t="s">
        <v>4</v>
      </c>
      <c r="C1462" s="30" t="s">
        <v>9</v>
      </c>
      <c r="D1462" s="24" t="s">
        <v>6</v>
      </c>
      <c r="E1462" s="24" t="s">
        <v>81</v>
      </c>
      <c r="F1462" s="24" t="s">
        <v>10</v>
      </c>
      <c r="G1462" s="24" t="s">
        <v>2</v>
      </c>
      <c r="H1462" s="24" t="s">
        <v>5</v>
      </c>
      <c r="I1462" s="24" t="s">
        <v>11</v>
      </c>
    </row>
    <row r="1463" spans="1:9">
      <c r="A1463" s="13" t="s">
        <v>754</v>
      </c>
      <c r="B1463" s="13" t="s">
        <v>755</v>
      </c>
      <c r="C1463">
        <v>1</v>
      </c>
      <c r="D1463" t="s">
        <v>6</v>
      </c>
      <c r="G1463" t="s">
        <v>28</v>
      </c>
      <c r="H1463" t="s">
        <v>18</v>
      </c>
    </row>
    <row r="1464" spans="1:9">
      <c r="A1464" s="13" t="s">
        <v>758</v>
      </c>
      <c r="B1464" s="13" t="s">
        <v>758</v>
      </c>
      <c r="C1464" s="65">
        <v>5025.4162915136185</v>
      </c>
      <c r="D1464" t="s">
        <v>486</v>
      </c>
      <c r="G1464" t="s">
        <v>28</v>
      </c>
      <c r="H1464" t="s">
        <v>12</v>
      </c>
      <c r="I1464" t="s">
        <v>757</v>
      </c>
    </row>
    <row r="1465" spans="1:9">
      <c r="B1465"/>
    </row>
    <row r="1466" spans="1:9">
      <c r="B1466"/>
    </row>
    <row r="1467" spans="1:9">
      <c r="B1467"/>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2025-11-20T13:38:52Z</dcterms:modified>
</cp:coreProperties>
</file>