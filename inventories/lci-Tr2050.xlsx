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engie-my.sharepoint.com/personal/db6421_engie_com/Documents/Documents/Local_repo/ADEME_scenarios_premise_gas/inventories/"/>
    </mc:Choice>
  </mc:AlternateContent>
  <xr:revisionPtr revIDLastSave="58" documentId="13_ncr:1_{D0F9393E-493D-4D41-96B2-57E4008F0D51}" xr6:coauthVersionLast="47" xr6:coauthVersionMax="47" xr10:uidLastSave="{0899827B-D536-48BF-AD09-1FF2BD22290A}"/>
  <bookViews>
    <workbookView xWindow="-108" yWindow="12852" windowWidth="23256" windowHeight="12456" xr2:uid="{00000000-000D-0000-FFFF-FFFF00000000}"/>
  </bookViews>
  <sheets>
    <sheet name="lc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34" i="1" l="1"/>
  <c r="C933" i="1" s="1"/>
  <c r="G64" i="1" l="1"/>
  <c r="G76" i="1" l="1"/>
  <c r="D76" i="1"/>
  <c r="A76" i="1"/>
  <c r="C32" i="1" l="1"/>
  <c r="A15" i="1" l="1"/>
  <c r="D15" i="1"/>
  <c r="G15" i="1"/>
  <c r="B17" i="1"/>
  <c r="B18" i="1"/>
  <c r="B19" i="1"/>
  <c r="B20" i="1"/>
  <c r="B21" i="1"/>
  <c r="B22" i="1"/>
  <c r="B64" i="1" l="1"/>
  <c r="B58" i="1"/>
  <c r="B60" i="1" s="1"/>
  <c r="B57" i="1"/>
  <c r="B59" i="1" s="1"/>
  <c r="D56" i="1"/>
  <c r="C56" i="1"/>
</calcChain>
</file>

<file path=xl/sharedStrings.xml><?xml version="1.0" encoding="utf-8"?>
<sst xmlns="http://schemas.openxmlformats.org/spreadsheetml/2006/main" count="4593" uniqueCount="535">
  <si>
    <t>Database</t>
  </si>
  <si>
    <t>Activity</t>
  </si>
  <si>
    <t>location</t>
  </si>
  <si>
    <t>production amount</t>
  </si>
  <si>
    <t>reference product</t>
  </si>
  <si>
    <t>type</t>
  </si>
  <si>
    <t>unit</t>
  </si>
  <si>
    <t>Exchanges</t>
  </si>
  <si>
    <t>name</t>
  </si>
  <si>
    <t>amount</t>
  </si>
  <si>
    <t>categories</t>
  </si>
  <si>
    <t>comment</t>
  </si>
  <si>
    <t>technosphere</t>
  </si>
  <si>
    <t>kilogram</t>
  </si>
  <si>
    <t>cutoff</t>
  </si>
  <si>
    <t>biosphere</t>
  </si>
  <si>
    <t>natural resource::land</t>
  </si>
  <si>
    <t>square meter-year</t>
  </si>
  <si>
    <t>production</t>
  </si>
  <si>
    <t>kilowatt hour</t>
  </si>
  <si>
    <t>electricity, low voltage</t>
  </si>
  <si>
    <t>market for water, deionised</t>
  </si>
  <si>
    <t>Europe without Switzerland</t>
  </si>
  <si>
    <t>water, deionised</t>
  </si>
  <si>
    <t>Oxygen</t>
  </si>
  <si>
    <t>air</t>
  </si>
  <si>
    <t>CH</t>
  </si>
  <si>
    <t>market for electricity, low voltage</t>
  </si>
  <si>
    <t>FR</t>
  </si>
  <si>
    <t>electricity, high voltage</t>
  </si>
  <si>
    <t>market for tap water</t>
  </si>
  <si>
    <t>tap water</t>
  </si>
  <si>
    <t>Carbon dioxide, fossil</t>
  </si>
  <si>
    <t>electricity, medium voltage</t>
  </si>
  <si>
    <t>market for electricity, medium voltage</t>
  </si>
  <si>
    <t>megajoule</t>
  </si>
  <si>
    <t>RER</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</si>
  <si>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</si>
  <si>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30 bar</t>
  </si>
  <si>
    <t>electrolyzer, 1MWe, PEM, Stack</t>
  </si>
  <si>
    <t>Stack, 5.5 years lifetime.</t>
  </si>
  <si>
    <t>electrolyzer, 1MWe, PEM, Balance of Plant</t>
  </si>
  <si>
    <t>BoP, 20 years lifetime.</t>
  </si>
  <si>
    <t>treatment of fuel cell stack, 1MWe, PEM</t>
  </si>
  <si>
    <t>used fuel cell stack, 1MWe, PEM</t>
  </si>
  <si>
    <t>Stack EoL</t>
  </si>
  <si>
    <t>treatment of fuel cell balance of plant, 1MWe, PEM</t>
  </si>
  <si>
    <t>used fuel cell balance of plant, 1MWe, PEM</t>
  </si>
  <si>
    <t>BoP EoL</t>
  </si>
  <si>
    <t>Electricity consumption with 61.7% eff.</t>
  </si>
  <si>
    <t xml:space="preserve">A perfect reaction of H2O results in 1 kg H2 and 8 kg O2, and needs 9 kg H2O, however, considering some losses we assume 14 kg H2O (Simoes et al., 2021). </t>
  </si>
  <si>
    <t>Occupation, unspecified</t>
  </si>
  <si>
    <t>electrolyzer production, 1MWe, PEM, Stack</t>
  </si>
  <si>
    <t>electrolyzer production, 1MWe, PEM, Balance of Plant</t>
  </si>
  <si>
    <t>hydrogen production, gaseous, 30 bar, from PEM electrolysis, from grid electricity, domestic, FE2050</t>
  </si>
  <si>
    <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</si>
  <si>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</si>
  <si>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source</t>
  </si>
  <si>
    <t>Life Cycle Assessment of a Vanadium Redox Flow Battery, Selina Weber, Jens F. Peters, Manuel Baumann, and Marcel Weil, Environ. Sci. Technol. 2018, 52, 10864−10873, DOI: 10.1021/acs.est.8b02073</t>
  </si>
  <si>
    <t>process</t>
  </si>
  <si>
    <t>Electricity input plus losses</t>
  </si>
  <si>
    <t>vanadium-redox flow battery system assembly, 8.3 megawatt hour</t>
  </si>
  <si>
    <t>vanadium-redox flow battery system</t>
  </si>
  <si>
    <t>Infrastructure requirements 1/49000 MWh</t>
  </si>
  <si>
    <t>vanadium-redox flow battery stack assembly</t>
  </si>
  <si>
    <t>vanadium-redox flow battery stack</t>
  </si>
  <si>
    <t>Replacement stack</t>
  </si>
  <si>
    <t>treatment of stack, for VRFB system</t>
  </si>
  <si>
    <t>used stack, for VRFB system</t>
  </si>
  <si>
    <t>EoL of both stack</t>
  </si>
  <si>
    <t>treatment of electrolyte tank, for VRFB system</t>
  </si>
  <si>
    <t>used electrolyte tank, for VRFB system</t>
  </si>
  <si>
    <t>Electrolyte tank EoL</t>
  </si>
  <si>
    <t>treatment of electrolyte solution, for VRFB system</t>
  </si>
  <si>
    <t>used electrolyte solution, for VRFB system</t>
  </si>
  <si>
    <t>Electrolyte EoL</t>
  </si>
  <si>
    <t>treatment of periphericals, for VRFB system</t>
  </si>
  <si>
    <t>used periphericals, for VRFB system</t>
  </si>
  <si>
    <t>Peripherals EoL</t>
  </si>
  <si>
    <t>market for electricity, high voltage</t>
  </si>
  <si>
    <t>Tr2050</t>
  </si>
  <si>
    <t>database</t>
  </si>
  <si>
    <t>Acetaldehyde</t>
  </si>
  <si>
    <t>biosphere3</t>
  </si>
  <si>
    <t>Butane</t>
  </si>
  <si>
    <t>Dinitrogen monoxide</t>
  </si>
  <si>
    <t>Methane, fossil</t>
  </si>
  <si>
    <t>Nitrogen oxides</t>
  </si>
  <si>
    <t>Propane</t>
  </si>
  <si>
    <t>Sulfur dioxide</t>
  </si>
  <si>
    <t>Water, cooling, unspecified natural origin</t>
  </si>
  <si>
    <t>cubic meter</t>
  </si>
  <si>
    <t>natural resource::in water</t>
  </si>
  <si>
    <t>Water</t>
  </si>
  <si>
    <t>water</t>
  </si>
  <si>
    <t>chemical factory, organics</t>
  </si>
  <si>
    <t>GLO</t>
  </si>
  <si>
    <t>market for liquid storage tank, chemicals, organics</t>
  </si>
  <si>
    <t>liquid storage tank, chemicals, organics</t>
  </si>
  <si>
    <t>natural gas, high pressure</t>
  </si>
  <si>
    <t>hydrogen production, gaseous, 30 bar, from PEM electrolysis, from grid electricity, domestic, Tr2050</t>
  </si>
  <si>
    <t>electricity supply, high voltage, from vanadium-redox flow battery system, Tr2050</t>
  </si>
  <si>
    <t>Activity adapted from the similar inventory provided by premise: change of the location of the electricity input &gt; FR</t>
  </si>
  <si>
    <t>hydropower plant construction, reservoir, alpine region</t>
  </si>
  <si>
    <t>hydropower plant, reservoir, alpine region</t>
  </si>
  <si>
    <t>market for lubricating oil</t>
  </si>
  <si>
    <t>lubricating oil</t>
  </si>
  <si>
    <t>market for waste mineral oil</t>
  </si>
  <si>
    <t>waste mineral oil</t>
  </si>
  <si>
    <t>air::non-urban air or from high stacks</t>
  </si>
  <si>
    <t>Methane, non-fossil</t>
  </si>
  <si>
    <t>Occupation, lake, artificial</t>
  </si>
  <si>
    <t>Transformation, from unspecified</t>
  </si>
  <si>
    <t>square meter</t>
  </si>
  <si>
    <t>Transformation, to industrial area</t>
  </si>
  <si>
    <t>Transformation, to lake, artificial</t>
  </si>
  <si>
    <t>Volume occupied, reservoir</t>
  </si>
  <si>
    <t>cubic meter-year</t>
  </si>
  <si>
    <t>Water, turbine use, unspecified natural origin</t>
  </si>
  <si>
    <t>electricity production, hydro, pumped storage, Tr2050</t>
  </si>
  <si>
    <t>treatment of biowaste by anaerobic digestion, cut-off with biogenic carbon uptake</t>
  </si>
  <si>
    <t>biogas</t>
  </si>
  <si>
    <t>biogas_inventories</t>
  </si>
  <si>
    <t>Carbon dioxide, in air</t>
  </si>
  <si>
    <t>natural resource::in air</t>
  </si>
  <si>
    <t>treatment of industrial wastewater by anaerobic digestion, cut-off with biogenic carbon uptake</t>
  </si>
  <si>
    <t>treatment of sewage sludge by anaerobic digestion, cut-off with biogenic carbon uptake</t>
  </si>
  <si>
    <t>anaerobic digestion of animal manure, with biogenic carbon uptake</t>
  </si>
  <si>
    <t>animal manure collection</t>
  </si>
  <si>
    <t>animal manure</t>
  </si>
  <si>
    <t>amount of wet feedstock required to supply 1 cubic meter of biogas (considering biogas leakage and internal use)</t>
  </si>
  <si>
    <t>eco 3.9.1_coff</t>
  </si>
  <si>
    <t>anaerobic digestion plant construction, agriculture, with methane recovery</t>
  </si>
  <si>
    <t>anaerobic digestion plant, agriculture, with methane recovery</t>
  </si>
  <si>
    <t>RoW</t>
  </si>
  <si>
    <t>market for gas boiler</t>
  </si>
  <si>
    <t>gas boiler</t>
  </si>
  <si>
    <t>mass of carbon (as CO2) contained in the produced biogas (i.e., considering losses and internal use) that has been removed from the atmosphere during biomass growth</t>
  </si>
  <si>
    <t>Carbon dioxide, non-fossil</t>
  </si>
  <si>
    <t>biogas leakage + biogas combustion in boiler + biogas flaring</t>
  </si>
  <si>
    <t>Carbon monoxide, non-fossil</t>
  </si>
  <si>
    <t>biogas combustion in boiler + biogas flaring</t>
  </si>
  <si>
    <t>NMVOC, non-methane volatile organic compounds</t>
  </si>
  <si>
    <t>Platinum</t>
  </si>
  <si>
    <t>anaerobic digestion of agricultural residues, with biogenic carbon uptake</t>
  </si>
  <si>
    <t>agricultural residues collection</t>
  </si>
  <si>
    <t>agricultural residues</t>
  </si>
  <si>
    <t>amount of wet feedstock required to supply 1 cubic meter of biogas (considering losses and internal use)</t>
  </si>
  <si>
    <t>calculated based on heat requirements and ecoinvent data from ''heat production, biomethane, at boiler condensing modulating &lt;100kW Europe without Switzerland''</t>
  </si>
  <si>
    <t>anaerobic digestion of sequential crops, with biogenic carbon uptake</t>
  </si>
  <si>
    <t>anaerobic digestion of dedicated crops, with biogenic carbon uptake</t>
  </si>
  <si>
    <t>dedicated crops collection</t>
  </si>
  <si>
    <t>dedicated crops</t>
  </si>
  <si>
    <t>anaerobic digestion of grass and pastures, with biogenic carbon uptake</t>
  </si>
  <si>
    <t>grass collection</t>
  </si>
  <si>
    <t>grass</t>
  </si>
  <si>
    <t>market for transport, freight, lorry, unspecified</t>
  </si>
  <si>
    <t>transport, freight, lorry, unspecified</t>
  </si>
  <si>
    <t>ton kilometer</t>
  </si>
  <si>
    <t xml:space="preserve">grass </t>
  </si>
  <si>
    <t>inorganic nitrogen fertiliser, as N</t>
  </si>
  <si>
    <t>oat forage as sequential crop requires 80 kg N fertilizer/ha (Lodato et al., 2022)</t>
  </si>
  <si>
    <t>market for combine harvesting</t>
  </si>
  <si>
    <t>combine harvesting</t>
  </si>
  <si>
    <t>hectare</t>
  </si>
  <si>
    <t>process considered for harvesting of the sequential crop (Lodato et al., 2022)</t>
  </si>
  <si>
    <t>Nitrate</t>
  </si>
  <si>
    <t>water::ground-</t>
  </si>
  <si>
    <t>nitrate percolation of 88 kg NO3- per ha (Lodato et al., 2022)</t>
  </si>
  <si>
    <t>market for inorganic nitrogen fertiliser, as N</t>
  </si>
  <si>
    <t>biomethane, high pressure</t>
  </si>
  <si>
    <t>Heat, waste</t>
  </si>
  <si>
    <t>Hydrogen sulfide</t>
  </si>
  <si>
    <t>Nitrogen</t>
  </si>
  <si>
    <t>air::urban air close to ground</t>
  </si>
  <si>
    <t>market for activated carbon, granular</t>
  </si>
  <si>
    <t>activated carbon, granular</t>
  </si>
  <si>
    <t>market for chemical factory, organics</t>
  </si>
  <si>
    <t>market for steel, chromium steel 18/8</t>
  </si>
  <si>
    <t>steel, chromium steel 18/8</t>
  </si>
  <si>
    <t>empty activity, for market that does not exist any more in 2050, Tr2050</t>
  </si>
  <si>
    <t>used for market for hydrogen, for fossil fuel refinery in 2050 as this market does not exist anymore in 2050</t>
  </si>
  <si>
    <t>nothing</t>
  </si>
  <si>
    <t>biogas purification to biomethane by chemical scrubbing, Tr2050</t>
  </si>
  <si>
    <t>market for monoethanolamine</t>
  </si>
  <si>
    <t>monoethanolamine</t>
  </si>
  <si>
    <t>market for charcoal</t>
  </si>
  <si>
    <t>charcoal</t>
  </si>
  <si>
    <t>market for chemical, organic</t>
  </si>
  <si>
    <t>chemical, organic</t>
  </si>
  <si>
    <t>market for potassium hydroxide</t>
  </si>
  <si>
    <t>potassium hydroxide</t>
  </si>
  <si>
    <t>market for sodium chloride, powder</t>
  </si>
  <si>
    <t>sodium chloride, powder</t>
  </si>
  <si>
    <t>Ammonia</t>
  </si>
  <si>
    <t>biogas purification to biomethane by membrane, Tr2050</t>
  </si>
  <si>
    <t>biogas purification to biomethane by water scrubbing, Tr2050</t>
  </si>
  <si>
    <t>biogas purification to biomethane by PSA, Tr2050</t>
  </si>
  <si>
    <t>biogas purification to biomethane by cryogenic separation, Tr2050</t>
  </si>
  <si>
    <t>Agribalyse</t>
  </si>
  <si>
    <t>biowaste collection</t>
  </si>
  <si>
    <t>treated biowaste</t>
  </si>
  <si>
    <t>municipal waste collection service by 21 metric ton lorry</t>
  </si>
  <si>
    <t>steel, low-alloyed</t>
  </si>
  <si>
    <t>steel production, converter, low-alloyed</t>
  </si>
  <si>
    <t>Shreeding operation based on inventory provided by Agribalyse</t>
  </si>
  <si>
    <t>Distance considered by Agribalyse</t>
  </si>
  <si>
    <t>Istrate et al. (2025) and Mano Esteves et al. (2019)</t>
  </si>
  <si>
    <t>water::surface water</t>
  </si>
  <si>
    <t>INRAE Transfert (2021)</t>
  </si>
  <si>
    <t>methane, from electrochemical methanation</t>
  </si>
  <si>
    <t>Life cycle assessment of power-to-gas with biogas as the carbon source. Xiaojin Zhang, Julia Witte, Tilman Schildhauer and Christian Bauer. https://doi.org/10.1039/C9SE00986H</t>
  </si>
  <si>
    <t>uncertainty type</t>
  </si>
  <si>
    <t>loc</t>
  </si>
  <si>
    <t>u1</t>
  </si>
  <si>
    <t>u2</t>
  </si>
  <si>
    <t>u3</t>
  </si>
  <si>
    <t>u4</t>
  </si>
  <si>
    <t>u5</t>
  </si>
  <si>
    <t>u6</t>
  </si>
  <si>
    <t>ub</t>
  </si>
  <si>
    <t>scale</t>
  </si>
  <si>
    <t>negative</t>
  </si>
  <si>
    <t>simapro category</t>
  </si>
  <si>
    <t>Material/Fuels/Synthetic/Transformation</t>
  </si>
  <si>
    <t>Sabatier reaction methanation unit construction</t>
  </si>
  <si>
    <t>Sabatier reaction methanation unit</t>
  </si>
  <si>
    <t>production of nickel-based catalyst for methanation</t>
  </si>
  <si>
    <t>nickel-based catalyst for methanation</t>
  </si>
  <si>
    <t>methane, from electrochemical methanation, with carbon from anaerobic digestion</t>
  </si>
  <si>
    <t>Calculated based on Sabatier chemical reaction, considering the density of CH4 (0.717 kg/Nm3)</t>
  </si>
  <si>
    <t>Calculated based on Sabatier chemical reaction, considering the reaction enthalpy. More details in Zhang et al. (2019)</t>
  </si>
  <si>
    <t>Scaled from the inventory in premise, based on the same source. Considering 1kg methane = 1.39 Nm3</t>
  </si>
  <si>
    <t>market for sodium hydroxide, without water, in 50% solution state</t>
  </si>
  <si>
    <t>sodium hydroxide, without water, in 50% solution state</t>
  </si>
  <si>
    <t>heat pump production, heat and power co-generation unit, 160kW electrical</t>
  </si>
  <si>
    <t>heat pump, heat and power co-generation unit, 160kW electrical</t>
  </si>
  <si>
    <t>market for absorption chiller, 100kW</t>
  </si>
  <si>
    <t>absorption chiller, 100kW</t>
  </si>
  <si>
    <t>market for gas turbine, 10MW electrical</t>
  </si>
  <si>
    <t>gas turbine, 10MW electrical</t>
  </si>
  <si>
    <t>market for pump, 40W</t>
  </si>
  <si>
    <t>pump, 40W</t>
  </si>
  <si>
    <t>treatment of spent solvent mixture, hazardous waste incineration</t>
  </si>
  <si>
    <t>spent solvent mixture</t>
  </si>
  <si>
    <t>Monoethanolamine</t>
  </si>
  <si>
    <t>Life cycle assessment of carbon capture and storage in power generation and industry in Europe, Volkart et al., 2013, International Journal of Greenhouse Gas Control</t>
  </si>
  <si>
    <t>biogas purification to biomethane by membrane with CCS, Tr2050</t>
  </si>
  <si>
    <t>biogas purification to biomethane by chemical scrubbing with CCS, Tr2050</t>
  </si>
  <si>
    <t>biogas purification to biomethane by water scrubbing with CCS, Tr2050</t>
  </si>
  <si>
    <t>biogas purification to biomethane by PSA with CCS, Tr2050</t>
  </si>
  <si>
    <t>biogas purification to biomethane by cryogenic separation with CCS, Tr2050</t>
  </si>
  <si>
    <t>carbon dioxide capture and storage, chemical absorption</t>
  </si>
  <si>
    <t>This activity represents post-combustion CO2 capture using chemical absorption with MEA. The transport has been removed from the original activity since methanation units are assumed to be coupled on-site with anaerobic digestion installations.</t>
  </si>
  <si>
    <t>carbon dioxide storage in plant</t>
  </si>
  <si>
    <t>CO2 storage at 22 bar in steel tank. No electricity is included for compression since the methanation process is assumed to be ran at 20 bar with CO2 capture happening on-site.</t>
  </si>
  <si>
    <t>Based on 8322 operating hours and 20 years of lifetime, considering theorethical CO2 for methanation. Factor = 5.23E-07</t>
  </si>
  <si>
    <t>CO2 storage at 22 bar</t>
  </si>
  <si>
    <t>biomethane AD transport</t>
  </si>
  <si>
    <t>heat, central or small-scale, biomethane</t>
  </si>
  <si>
    <t>methane, from electrochemical methanation, transport</t>
  </si>
  <si>
    <t>Average transportation of methane from electrochemical methanation in France.</t>
  </si>
  <si>
    <t>Collection and supply of dedicated crops</t>
  </si>
  <si>
    <t>Collection and supply of grass</t>
  </si>
  <si>
    <t>Collection and supply of animal manure</t>
  </si>
  <si>
    <t>Collection and supply of agricultural residues</t>
  </si>
  <si>
    <t>Collection and supply of biowaste</t>
  </si>
  <si>
    <t>sequential crop</t>
  </si>
  <si>
    <t>sequential crop production and supply</t>
  </si>
  <si>
    <t>sweet sorghum grain</t>
  </si>
  <si>
    <t>sweet sorghum production</t>
  </si>
  <si>
    <t>barley production</t>
  </si>
  <si>
    <t>barley grain</t>
  </si>
  <si>
    <t>oat sequential crop production</t>
  </si>
  <si>
    <t>oat sequential crop</t>
  </si>
  <si>
    <t>Taken from Istrate et al. (2024). Based on Lodato et al. (2022): Towards sustainable methane supply from local bioresources: Anaerobic digestion, gasification, and gas upgrading. Applied Energy 323 (2022) 119568; Vassilev et al. (2010). An overview of the chemical composition of biomass. Fuel 89 (2010) 913–933</t>
  </si>
  <si>
    <t>Production of oat forage as sequential crop. Inventory taken from Istrate et al. (2024): One-tenth of EU’s biomethane potential combined with carbon capture and storage can shift the region’s ammonia production to net-zero. One Earth</t>
  </si>
  <si>
    <t>rye production</t>
  </si>
  <si>
    <t>rye grain</t>
  </si>
  <si>
    <t>fodder beet production, Swiss integrated production, intensive</t>
  </si>
  <si>
    <t>fodder beet, Swiss integrated production</t>
  </si>
  <si>
    <t>market for ryegrass-red&amp;Egyptian clover-mixture silage</t>
  </si>
  <si>
    <t>ryegrass-red&amp;Egyptian clover-mixture silage</t>
  </si>
  <si>
    <t>Considers ryegrass and legume cover crops (clover) together</t>
  </si>
  <si>
    <t>Based on ecoinvent, and Istrate et al. (2024) for oat</t>
  </si>
  <si>
    <t>natural gas, imports</t>
  </si>
  <si>
    <t>Imports of natural gas in France</t>
  </si>
  <si>
    <t>natural gas, burned in gas turbine</t>
  </si>
  <si>
    <t>natural gas, high pressure, import from QA</t>
  </si>
  <si>
    <t>natural gas, high pressure, import from DZ</t>
  </si>
  <si>
    <t>natural gas, high pressure, import from NG</t>
  </si>
  <si>
    <t>natural gas, high pressure, import from NL</t>
  </si>
  <si>
    <t>natural gas, high pressure, import from NO</t>
  </si>
  <si>
    <t>natural gas, high pressure, import from RU</t>
  </si>
  <si>
    <t>natural gas, high pressure, import from US</t>
  </si>
  <si>
    <t>Ethane</t>
  </si>
  <si>
    <t>0.49%/MJ supplied (Bussa et al., 2022)</t>
  </si>
  <si>
    <t>biomethane import</t>
  </si>
  <si>
    <t>market for biomethane, high pressure</t>
  </si>
  <si>
    <t>Imports of renewable gas in France</t>
  </si>
  <si>
    <t>biomethane, imports</t>
  </si>
  <si>
    <t>Import of biomethane (anaerobic digestion and gasification of wood)</t>
  </si>
  <si>
    <t>Scaled to reference product based on ecoinvent Faist Emmenegger M., Del Duce A., Moreno Ruiz E., Brunner F., (2017). Update of the European natural gas supply chains. Ecoinvent, Zürich, Switzerland</t>
  </si>
  <si>
    <t>market for biogas</t>
  </si>
  <si>
    <t>1.5% ADEME Transition 2050. Calculated from the estimated composition of biomethane from AD in the French mix after upgrading</t>
  </si>
  <si>
    <t>Average transportation of biomethane from anaerobic digestion (AD) in France. Leaks are calcualted considering the average market for upgrading technologies, which remains constant over time and scenarios. While correctly representing leaks for the upgrading mix, it can underestimate or overestimate transportation losses of individual upgrading technologies due to the different methane purities. Transportation is added to the individual AD production pathways because of implementation easiness in the user-defined scenario markets.</t>
  </si>
  <si>
    <t>Losses 1.5% ADEME Transition 2050</t>
  </si>
  <si>
    <t>Production of biogas from the treatment of biowaste. Absorbed biogenic carbon is included to ensure carbon balance.</t>
  </si>
  <si>
    <t>Production of biogas from the treatment of industrial wastewater. Absorbed biogenic carbon is included to ensure carbon balance.</t>
  </si>
  <si>
    <t>Production of biogas from the treatment of sewage sludge. Absorbed biogenic carbon is included to ensure carbon balance.</t>
  </si>
  <si>
    <t>Production of biogas from animal manure. Absorbed biogenic carbon is included to ensure carbon balance.</t>
  </si>
  <si>
    <t>Production of biogas from agricultural residues.Absorbed biogenic carbon is included to ensure carbon balance.</t>
  </si>
  <si>
    <t>Production of biogas from sequential crops. Absorbed biogenic carbon is included to ensure carbon balance.</t>
  </si>
  <si>
    <t>Production of biogas from dedicated crops. Absorbed biogenic carbon is included to ensure carbon balance.</t>
  </si>
  <si>
    <t>Production of biogas from grass and pastures. Absorbed biogenic carbon is included to ensure carbon balance.</t>
  </si>
  <si>
    <t>maize silage production</t>
  </si>
  <si>
    <t>maize silage</t>
  </si>
  <si>
    <t>Purification of biogas to biomethane using membrane technology.</t>
  </si>
  <si>
    <t>Purification of biogas to biomethane using chemical scrubbing technology.</t>
  </si>
  <si>
    <t>Purification of biogas to biomethane using water scrubbing technology.</t>
  </si>
  <si>
    <t>Purification of biogas to biomethane using PSA technology.</t>
  </si>
  <si>
    <t>Purification of biogas to biomethane using cryogenic separation technology.</t>
  </si>
  <si>
    <t>Purification of biogas to biomethane using membrane with CCS technology.</t>
  </si>
  <si>
    <t>Purification of biogas to biomethane using chemical scrubbing with CCS technology.</t>
  </si>
  <si>
    <t>Purification of biogas to biomethane using water scrubbing with CCS technology.</t>
  </si>
  <si>
    <t>Purification of biogas to biomethane using PSA with CCS technology.</t>
  </si>
  <si>
    <t>Purification of biogas to biomethane using cryogenic separation with CCS technology.</t>
  </si>
  <si>
    <t>Methane production from methanation. Hydrogen is taken from the hydrogen market derived from ADEME Transtion 2050 scenarios.</t>
  </si>
  <si>
    <t>Production and supply os sequential crops. Oat sequential crop considered as representative of the eight crops taken into account for the biochemical methane potential</t>
  </si>
  <si>
    <t>market for maize seed, for sowing</t>
  </si>
  <si>
    <t>maize seed, for sowing</t>
  </si>
  <si>
    <t>market for bipyridylium-compound</t>
  </si>
  <si>
    <t>bipyridylium-compound</t>
  </si>
  <si>
    <t>market for inorganic phosphorus fertiliser, as P2O5</t>
  </si>
  <si>
    <t>inorganic phosphorus fertiliser, as P2O5</t>
  </si>
  <si>
    <t>market for inorganic potassium fertiliser, as K2O</t>
  </si>
  <si>
    <t>inorganic potassium fertiliser, as K2O</t>
  </si>
  <si>
    <t>market for soil pH raising agent, as CaCO3</t>
  </si>
  <si>
    <t>soil pH raising agent, as CaCO3</t>
  </si>
  <si>
    <t>diesel, burned in agricultural machinery</t>
  </si>
  <si>
    <t>market group for electricity, medium voltage</t>
  </si>
  <si>
    <t>Energy, gross calorific value, in biomass</t>
  </si>
  <si>
    <t>natural resource::biotic</t>
  </si>
  <si>
    <t>from "maize grain production, US" from ecoinvent</t>
  </si>
  <si>
    <t>Transformation, from annual crop</t>
  </si>
  <si>
    <t>Originally 166 bushel/acre. Assumes two yields per year.</t>
  </si>
  <si>
    <t>Transformation, to annual crop</t>
  </si>
  <si>
    <t>Occupation, annual crop</t>
  </si>
  <si>
    <t>Assumes two yields per year.</t>
  </si>
  <si>
    <t>Acetamide</t>
  </si>
  <si>
    <t>soil::agricultural</t>
  </si>
  <si>
    <t>Paraquat</t>
  </si>
  <si>
    <t>Imazapyr</t>
  </si>
  <si>
    <t>Bromoxynil</t>
  </si>
  <si>
    <t>Copper</t>
  </si>
  <si>
    <t>Rimsulfuron</t>
  </si>
  <si>
    <t>Pendimethalin</t>
  </si>
  <si>
    <t>Permethrin</t>
  </si>
  <si>
    <t>Tebupirimphos</t>
  </si>
  <si>
    <t>Lambda-cyhalothrin</t>
  </si>
  <si>
    <t>Nickel</t>
  </si>
  <si>
    <t>Tefluthrin</t>
  </si>
  <si>
    <t>Alachlor</t>
  </si>
  <si>
    <t>Cyfluthrin</t>
  </si>
  <si>
    <t>Zinc</t>
  </si>
  <si>
    <t>Mesotrione</t>
  </si>
  <si>
    <t>Terbufos</t>
  </si>
  <si>
    <t>Chromium</t>
  </si>
  <si>
    <t>Foramsulfuron</t>
  </si>
  <si>
    <t>Bifenthrin</t>
  </si>
  <si>
    <t>Cadmium</t>
  </si>
  <si>
    <t>Metolachlor</t>
  </si>
  <si>
    <t>Atrazine</t>
  </si>
  <si>
    <t>Dimethenamid</t>
  </si>
  <si>
    <t>Simazine</t>
  </si>
  <si>
    <t>Dicamba</t>
  </si>
  <si>
    <t>Fipronil</t>
  </si>
  <si>
    <t>Glyphosate</t>
  </si>
  <si>
    <t>Glufosinate</t>
  </si>
  <si>
    <t>Diflufenzopyr-sodium</t>
  </si>
  <si>
    <t>2,4-D</t>
  </si>
  <si>
    <t>Chlorpyrifos</t>
  </si>
  <si>
    <t>Acetochlor</t>
  </si>
  <si>
    <t>Flumetsulam</t>
  </si>
  <si>
    <t>Imazethapyr</t>
  </si>
  <si>
    <t>Isoxaflutole</t>
  </si>
  <si>
    <t>Prosulfuron</t>
  </si>
  <si>
    <t>Cypermethrin</t>
  </si>
  <si>
    <t>Nicosulfuron</t>
  </si>
  <si>
    <t>Primisulfuron</t>
  </si>
  <si>
    <t>Lead</t>
  </si>
  <si>
    <t>Phosphorus</t>
  </si>
  <si>
    <t>Phosphate</t>
  </si>
  <si>
    <t>Water, unspecified natural origin</t>
  </si>
  <si>
    <t>corn, harvested</t>
  </si>
  <si>
    <t>Farming of corn</t>
  </si>
  <si>
    <t>Refused derived fuels</t>
  </si>
  <si>
    <t>Production of refused  derived fuels. It is modelled as a waste to gasification</t>
  </si>
  <si>
    <t>RDF, waste</t>
  </si>
  <si>
    <t>Synthetic natural gas from wood, 70 bar, at plant with CCS</t>
  </si>
  <si>
    <t>synthetic natural gas from wood, 70 bar, at plant</t>
  </si>
  <si>
    <t>carbon dioxide storage at synthetic natural gas plant, post, 400km pipeline, storage 3000m</t>
  </si>
  <si>
    <t>Cwood input - Csng (97.3% CH4, 2.6% CO, 0.1% hydrogenO)</t>
  </si>
  <si>
    <t>RME combustion; 78% C-content</t>
  </si>
  <si>
    <t>Charcoal combustion; 80% C-content</t>
  </si>
  <si>
    <t>Hydrocarbons, aliphatic, alkanes, unspecified</t>
  </si>
  <si>
    <t>Particulates, &gt; 2.5 um, and &lt; 10um</t>
  </si>
  <si>
    <t>Rape Methyl Ester, at plant</t>
  </si>
  <si>
    <t>36.82 MJ/kg</t>
  </si>
  <si>
    <t>SNG from wood, production plant</t>
  </si>
  <si>
    <t>1 / (50 mwinput*0.56 eff*7000h*30*3600)</t>
  </si>
  <si>
    <t>basalt quarry operation</t>
  </si>
  <si>
    <t>Approximation for olivine</t>
  </si>
  <si>
    <t>basalt</t>
  </si>
  <si>
    <t>heat production, light fuel oil, at boiler 10kW condensing, non-modulating</t>
  </si>
  <si>
    <t>Oil for start-up</t>
  </si>
  <si>
    <t>heat, central or small-scale, other than natural gas</t>
  </si>
  <si>
    <t>lime production, milled, packed</t>
  </si>
  <si>
    <t>CaCO3 (Sorbalit component; precoat material)</t>
  </si>
  <si>
    <t>lime, packed</t>
  </si>
  <si>
    <t>Catalyst</t>
  </si>
  <si>
    <t>Sorbalit component; precoat material</t>
  </si>
  <si>
    <t>wood: 415kg3. 25 km</t>
  </si>
  <si>
    <t>other materials, waste products. 50 km</t>
  </si>
  <si>
    <t>market for wood chips, wet, measured as dry mass</t>
  </si>
  <si>
    <t>conversion from cubic meter to kg based on ecoinvent 2.2 data</t>
  </si>
  <si>
    <t>wood chips, wet, measured as dry mass</t>
  </si>
  <si>
    <t>ENTSO-E</t>
  </si>
  <si>
    <t>ZA</t>
  </si>
  <si>
    <t>treatment of inert waste, sanitary landfill</t>
  </si>
  <si>
    <t>Olivine, Sorbalit (Kalk-Aktivkohle-Gemisch)</t>
  </si>
  <si>
    <t>inert waste</t>
  </si>
  <si>
    <t>treatment of scrap aluminium, municipal incineration</t>
  </si>
  <si>
    <t>Aluminium oxide</t>
  </si>
  <si>
    <t>scrap aluminium</t>
  </si>
  <si>
    <t>treatment of scrap copper, municipal incineration</t>
  </si>
  <si>
    <t>Approximation for Nickel! (very conservative; for calculations only)</t>
  </si>
  <si>
    <t>scrap copper</t>
  </si>
  <si>
    <t>treatment of waste gypsum, sanitary landfill</t>
  </si>
  <si>
    <t>Calcium sulfate (ZnO sulphur-removal)</t>
  </si>
  <si>
    <t>waste gypsum</t>
  </si>
  <si>
    <t>treatment of wood ash mixture, pure, sanitary landfill</t>
  </si>
  <si>
    <t>Wood ash</t>
  </si>
  <si>
    <t>wood ash mixture, pure</t>
  </si>
  <si>
    <t>Approximation for ZnO</t>
  </si>
  <si>
    <t>zinc concentrate</t>
  </si>
  <si>
    <t>aluminium oxide, metallurgical</t>
  </si>
  <si>
    <t>market for aluminium oxide, metallurgical</t>
  </si>
  <si>
    <t>market for zinc concentrate</t>
  </si>
  <si>
    <t>nickel, class 1</t>
  </si>
  <si>
    <t>platinum group metal, extraction and refinery operations</t>
  </si>
  <si>
    <t>1.5% of losses including the burned natural gas (ADEME Transition 2050)</t>
  </si>
  <si>
    <t>heat production, biomethane, at boiler condensing modulating &lt;100kW</t>
  </si>
  <si>
    <t>Refused derived fuels (not adapted to their LHV)</t>
  </si>
  <si>
    <t>synthetic natural gas from RDF, 70 bar, at plant</t>
  </si>
  <si>
    <t>Synthetic natural gas from RDF, 70 bar, at plant</t>
  </si>
  <si>
    <t>Considered 36% of fossil C-content in refused derived fuels (ADEME Transition 2050 scenarios)</t>
  </si>
  <si>
    <t>refused derived fuels</t>
  </si>
  <si>
    <t>WCO pretreatment</t>
  </si>
  <si>
    <t>Pretreated oils</t>
  </si>
  <si>
    <t>Pretreated waste cooking oils. Source: "Uncovering the environmental performances of emerging candidates for Sustainable Aviation" (https://doi.org/10.48531/JBRU.CALMIP/D0PWA8)</t>
  </si>
  <si>
    <t>heat and power co-generation, natural gas, conventional power plant, 100MW electrical</t>
  </si>
  <si>
    <t>heat, district or industrial, natural gas</t>
  </si>
  <si>
    <t>market for wastewater from vegetable oil refinery</t>
  </si>
  <si>
    <t>wastewater from vegetable oil refinery</t>
  </si>
  <si>
    <t>market for used vegetable cooking oil</t>
  </si>
  <si>
    <t>used vegetable cooking oil</t>
  </si>
  <si>
    <t>market for transport, freight, lorry &gt;32 metric ton, EURO5</t>
  </si>
  <si>
    <t>transport, freight, lorry &gt;32 metric ton, EURO5</t>
  </si>
  <si>
    <t>WCO purification</t>
  </si>
  <si>
    <t>Purified oils</t>
  </si>
  <si>
    <t>phosphoric acid, industrial grade, without water, in 85% solution state</t>
  </si>
  <si>
    <t>market for phosphoric acid, industrial grade, without water, in 85% solution state</t>
  </si>
  <si>
    <t xml:space="preserve">Purified waste cooking oils. Source: "Uncovering the environmental performances of emerging candidates for Sustainable Aviation" (https://doi.org/10.48531/JBRU.CALMIP/D0PWA8). The phospholipid produced in the activity is considered as a waste in this system model </t>
  </si>
  <si>
    <t>treatment of wastewater, average, wastewater treatment</t>
  </si>
  <si>
    <t>wastewater, average</t>
  </si>
  <si>
    <t>WCO hydrogeoxygenation</t>
  </si>
  <si>
    <t>Paraffin (hydrocarbon)</t>
  </si>
  <si>
    <t xml:space="preserve">"Uncovering the environmental performances of emerging candidates for Sustainable Aviation" (https://doi.org/10.48531/JBRU.CALMIP/D0PWA8). The phospholipid produced in the activity is considered as a waste in this system model </t>
  </si>
  <si>
    <t>Hydrogen</t>
  </si>
  <si>
    <t>Platinum-gamma alumina catalyst</t>
  </si>
  <si>
    <t>market for platinum</t>
  </si>
  <si>
    <t>platinum</t>
  </si>
  <si>
    <t>nitric acid production, product in 50% solution state</t>
  </si>
  <si>
    <t>nitric acid, without water, in 50% solution state</t>
  </si>
  <si>
    <t>RER w/o RU</t>
  </si>
  <si>
    <t>WCO hydrocracking</t>
  </si>
  <si>
    <t>Biokerosene (HVO)</t>
  </si>
  <si>
    <t>The original LCI is scaled to 1 kg based on the reported LHV of HEFA (44.46 MJ/kg)</t>
  </si>
  <si>
    <t>IAI Area, EU27 &amp; EFTA</t>
  </si>
  <si>
    <t>kerosene</t>
  </si>
  <si>
    <t>market for kerosene</t>
  </si>
  <si>
    <t>Carbon monoxide, fossil</t>
  </si>
  <si>
    <t>Sulfur oxides</t>
  </si>
  <si>
    <t>aircraft, passenger, medium haul</t>
  </si>
  <si>
    <t>market for aircraft, passenger, medium haul</t>
  </si>
  <si>
    <t>airport</t>
  </si>
  <si>
    <t>market for airport</t>
  </si>
  <si>
    <t>Scaled to 1 pkm from "GENESIS_2030_conventional_Base" (Thonemann et al., 2024) considering kerosene consumption in ecoinvent 391</t>
  </si>
  <si>
    <t>transport, passenger aircraft</t>
  </si>
  <si>
    <t>transport, passenger aircraft, medium haul</t>
  </si>
  <si>
    <t>person kilometer</t>
  </si>
  <si>
    <t>heat, electric boiler</t>
  </si>
  <si>
    <t>heat</t>
  </si>
  <si>
    <t>ethanol production from whey</t>
  </si>
  <si>
    <t>ethanol production from grass</t>
  </si>
  <si>
    <t>ethanol production from sugar beet</t>
  </si>
  <si>
    <t>ethanol, without water, in 95% solution state, from fermentation</t>
  </si>
  <si>
    <t>Adapted from the Swiss process in ecoinvent, considering equal distribution among feedstocks</t>
  </si>
  <si>
    <t>dewatering of ethanol from biomass, from 95% to 99.7%</t>
  </si>
  <si>
    <t>ethanol, from fermentation, 99.7%</t>
  </si>
  <si>
    <t>heat production, natural gas, at boiler condensing modulating &gt;100kW</t>
  </si>
  <si>
    <t>petrol, unleaded, burned in machinery</t>
  </si>
  <si>
    <t>market for pyrethroid-compound</t>
  </si>
  <si>
    <t>market for application of plant protection product, by field sprayer</t>
  </si>
  <si>
    <t>market for irrigation</t>
  </si>
  <si>
    <t>Nitric oxide</t>
  </si>
  <si>
    <t>pyrethroid-compound</t>
  </si>
  <si>
    <t>application of plant protection product, by field sprayer</t>
  </si>
  <si>
    <t>irrigation</t>
  </si>
  <si>
    <t>5200 Btu per bushel</t>
  </si>
  <si>
    <t>7729 Btu per ton</t>
  </si>
  <si>
    <t>479 Btu of NG per bushel, 1026 Btu for LPG</t>
  </si>
  <si>
    <t>1326 Btu of electricity per bushel</t>
  </si>
  <si>
    <t>pesticide</t>
  </si>
  <si>
    <t>herbicide</t>
  </si>
  <si>
    <t>seeds, from "maize grain production, US" from ecoinvent</t>
  </si>
  <si>
    <t>spraying, from "maize grain production, US" from ecoinvent</t>
  </si>
  <si>
    <t>irrigation, from "maize grain production, US" from ecoinvent</t>
  </si>
  <si>
    <t>from "maize grain production, US" from ecoinvent. 14% moisture content.</t>
  </si>
  <si>
    <t>.248 kg CO2 from urea use per ton, .315 kg CO2 from CaCO2 use, per bushel</t>
  </si>
  <si>
    <t>8.88 g/ton NO from fertilizer use</t>
  </si>
  <si>
    <t>10.7 g/ton of N2O from fertilizer use</t>
  </si>
  <si>
    <t>WF for maize from https://doi.org/10.1016/j.jclepro.2017.02.032</t>
  </si>
  <si>
    <t>Adapted from premise (US inventory). Transport is removed and absorbed CO2 set to zero as it is already considered in the anaerobic digestion activity. Electricity, diesel, petrol and natural gas inputs are specified to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</si>
</sst>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E+00"/>
    <numFmt numFmtId="165" formatCode="0.000"/>
    <numFmt numFmtId="166" formatCode="0.0000000000"/>
    <numFmt numFmtId="167" formatCode="0.0000"/>
    <numFmt numFmtId="168" formatCode="0.000%"/>
    <numFmt numFmtId="169" formatCode="0.00000"/>
  </numFmts>
  <fonts count="16">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0"/>
      <color theme="1"/>
      <name val="Arial"/>
      <family val="2"/>
    </font>
    <font>
      <b/>
      <sz val="12"/>
      <color theme="1"/>
      <name val="Calibri"/>
      <family val="2"/>
      <scheme val="minor"/>
    </font>
    <font>
      <b/>
      <sz val="12"/>
      <name val="Calibri (Body)"/>
    </font>
    <font>
      <sz val="12"/>
      <name val="Calibri (Body)"/>
    </font>
    <font>
      <i/>
      <sz val="11"/>
      <color theme="1"/>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b/>
      <sz val="11"/>
      <name val="Calibri"/>
      <family val="2"/>
      <scheme val="minor"/>
    </font>
    <font>
      <sz val="8"/>
      <name val="Calibri"/>
      <family val="2"/>
      <scheme val="minor"/>
    </font>
    <font>
      <b/>
      <i/>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5">
    <xf numFmtId="0" fontId="0" fillId="0" borderId="0"/>
    <xf numFmtId="0" fontId="1" fillId="0" borderId="0"/>
    <xf numFmtId="0" fontId="1" fillId="0" borderId="0"/>
    <xf numFmtId="0" fontId="5" fillId="0" borderId="0"/>
    <xf numFmtId="9" fontId="1" fillId="0" borderId="0" applyFont="0" applyFill="0" applyBorder="0" applyAlignment="0" applyProtection="0"/>
  </cellStyleXfs>
  <cellXfs count="60">
    <xf numFmtId="0" fontId="0" fillId="0" borderId="0" xfId="0"/>
    <xf numFmtId="0" fontId="0" fillId="0" borderId="0" xfId="2" applyFont="1"/>
    <xf numFmtId="0" fontId="2" fillId="0" borderId="0" xfId="1" applyFont="1"/>
    <xf numFmtId="11" fontId="2" fillId="0" borderId="0" xfId="1" applyNumberFormat="1" applyFont="1"/>
    <xf numFmtId="0" fontId="1" fillId="0" borderId="0" xfId="1"/>
    <xf numFmtId="0" fontId="1" fillId="0" borderId="0" xfId="0" applyFont="1"/>
    <xf numFmtId="0" fontId="3" fillId="0" borderId="0" xfId="0" applyFont="1"/>
    <xf numFmtId="11" fontId="3" fillId="0" borderId="0" xfId="0" applyNumberFormat="1" applyFont="1"/>
    <xf numFmtId="11" fontId="4" fillId="0" borderId="0" xfId="0" applyNumberFormat="1" applyFont="1"/>
    <xf numFmtId="0" fontId="1" fillId="0" borderId="0" xfId="2"/>
    <xf numFmtId="11" fontId="1" fillId="0" borderId="0" xfId="1" applyNumberFormat="1" applyAlignment="1">
      <alignment horizontal="left"/>
    </xf>
    <xf numFmtId="11" fontId="0" fillId="0" borderId="0" xfId="1" applyNumberFormat="1" applyFont="1" applyAlignment="1">
      <alignment horizontal="left"/>
    </xf>
    <xf numFmtId="0" fontId="4" fillId="0" borderId="0" xfId="0" applyFont="1"/>
    <xf numFmtId="11" fontId="0" fillId="0" borderId="0" xfId="0" applyNumberFormat="1"/>
    <xf numFmtId="0" fontId="8" fillId="0" borderId="0" xfId="2" applyFont="1"/>
    <xf numFmtId="0" fontId="8" fillId="0" borderId="0" xfId="0" applyFont="1"/>
    <xf numFmtId="2" fontId="8" fillId="0" borderId="0" xfId="0" applyNumberFormat="1" applyFont="1"/>
    <xf numFmtId="0" fontId="7" fillId="0" borderId="0" xfId="0" applyFont="1"/>
    <xf numFmtId="0" fontId="6" fillId="0" borderId="0" xfId="0" applyFont="1"/>
    <xf numFmtId="2" fontId="6" fillId="0" borderId="0" xfId="0" applyNumberFormat="1" applyFont="1"/>
    <xf numFmtId="2" fontId="0" fillId="0" borderId="0" xfId="0" applyNumberFormat="1"/>
    <xf numFmtId="164" fontId="0" fillId="0" borderId="0" xfId="0" applyNumberFormat="1"/>
    <xf numFmtId="0" fontId="10" fillId="0" borderId="0" xfId="0" applyFont="1"/>
    <xf numFmtId="11" fontId="2" fillId="0" borderId="0" xfId="0" applyNumberFormat="1" applyFont="1"/>
    <xf numFmtId="0" fontId="13" fillId="0" borderId="0" xfId="0" applyFont="1"/>
    <xf numFmtId="11" fontId="12" fillId="0" borderId="0" xfId="0" applyNumberFormat="1" applyFont="1" applyAlignment="1">
      <alignment horizontal="left"/>
    </xf>
    <xf numFmtId="0" fontId="12" fillId="0" borderId="0" xfId="0" applyFont="1"/>
    <xf numFmtId="0" fontId="2" fillId="0" borderId="0" xfId="0" applyFont="1"/>
    <xf numFmtId="0" fontId="12" fillId="0" borderId="0" xfId="0" applyFont="1" applyAlignment="1">
      <alignment horizontal="left"/>
    </xf>
    <xf numFmtId="11" fontId="12" fillId="0" borderId="0" xfId="0" applyNumberFormat="1" applyFont="1"/>
    <xf numFmtId="11" fontId="13" fillId="0" borderId="0" xfId="0" applyNumberFormat="1" applyFont="1" applyAlignment="1">
      <alignment horizontal="left"/>
    </xf>
    <xf numFmtId="0" fontId="12" fillId="0" borderId="0" xfId="1" applyFont="1"/>
    <xf numFmtId="165" fontId="12" fillId="0" borderId="0" xfId="0" applyNumberFormat="1" applyFont="1" applyAlignment="1">
      <alignment horizontal="left"/>
    </xf>
    <xf numFmtId="10" fontId="12" fillId="0" borderId="0" xfId="0" applyNumberFormat="1" applyFont="1"/>
    <xf numFmtId="165" fontId="12" fillId="0" borderId="0" xfId="1" applyNumberFormat="1" applyFont="1"/>
    <xf numFmtId="166" fontId="0" fillId="0" borderId="0" xfId="0" applyNumberFormat="1"/>
    <xf numFmtId="1" fontId="0" fillId="0" borderId="0" xfId="0" applyNumberFormat="1"/>
    <xf numFmtId="11" fontId="0" fillId="0" borderId="0" xfId="0" applyNumberFormat="1" applyAlignment="1">
      <alignment horizontal="left"/>
    </xf>
    <xf numFmtId="0" fontId="9" fillId="0" borderId="0" xfId="0" applyFont="1"/>
    <xf numFmtId="0" fontId="11" fillId="0" borderId="0" xfId="1" applyFont="1"/>
    <xf numFmtId="165" fontId="12" fillId="0" borderId="0" xfId="0" applyNumberFormat="1" applyFont="1"/>
    <xf numFmtId="165" fontId="0" fillId="0" borderId="0" xfId="0" applyNumberFormat="1"/>
    <xf numFmtId="167" fontId="12" fillId="0" borderId="0" xfId="0" applyNumberFormat="1" applyFont="1"/>
    <xf numFmtId="0" fontId="13" fillId="0" borderId="0" xfId="1" applyFont="1"/>
    <xf numFmtId="11" fontId="12" fillId="0" borderId="0" xfId="0" applyNumberFormat="1" applyFont="1" applyAlignment="1">
      <alignment horizontal="right"/>
    </xf>
    <xf numFmtId="167" fontId="12" fillId="0" borderId="0" xfId="0" applyNumberFormat="1" applyFont="1" applyAlignment="1">
      <alignment horizontal="right"/>
    </xf>
    <xf numFmtId="167" fontId="0" fillId="0" borderId="0" xfId="0" applyNumberFormat="1" applyAlignment="1">
      <alignment horizontal="right"/>
    </xf>
    <xf numFmtId="0" fontId="12" fillId="2" borderId="0" xfId="0" applyFont="1" applyFill="1"/>
    <xf numFmtId="0" fontId="12" fillId="2" borderId="0" xfId="0" applyFont="1" applyFill="1" applyAlignment="1">
      <alignment horizontal="left"/>
    </xf>
    <xf numFmtId="0" fontId="0" fillId="2" borderId="0" xfId="0" applyFill="1"/>
    <xf numFmtId="11" fontId="0" fillId="2" borderId="0" xfId="0" applyNumberFormat="1" applyFill="1"/>
    <xf numFmtId="0" fontId="12" fillId="0" borderId="0" xfId="0" applyFont="1" applyAlignment="1">
      <alignment horizontal="left" vertical="top"/>
    </xf>
    <xf numFmtId="168" fontId="12" fillId="0" borderId="0" xfId="4" applyNumberFormat="1" applyFont="1"/>
    <xf numFmtId="169" fontId="0" fillId="0" borderId="0" xfId="0" applyNumberFormat="1"/>
    <xf numFmtId="165" fontId="12" fillId="0" borderId="0" xfId="4" applyNumberFormat="1" applyFont="1"/>
    <xf numFmtId="0" fontId="15" fillId="0" borderId="0" xfId="0" applyFont="1"/>
    <xf numFmtId="0" fontId="0" fillId="0" borderId="0" xfId="4" applyNumberFormat="1" applyFont="1"/>
    <xf numFmtId="11" fontId="0" fillId="0" borderId="0" xfId="4" applyNumberFormat="1" applyFont="1" applyFill="1"/>
    <xf numFmtId="0" fontId="0" fillId="0" borderId="0" xfId="0" applyAlignment="1">
      <alignment horizontal="left"/>
    </xf>
    <xf numFmtId="0" fontId="0" fillId="0" borderId="0" xfId="0" applyAlignment="1">
      <alignment wrapText="1"/>
    </xf>
  </cellXfs>
  <cellStyles count="5">
    <cellStyle name="Normal" xfId="0" builtinId="0"/>
    <cellStyle name="Normal 11 3" xfId="1" xr:uid="{00000000-0005-0000-0000-000002000000}"/>
    <cellStyle name="Normal 2" xfId="2" xr:uid="{00000000-0005-0000-0000-000003000000}"/>
    <cellStyle name="Normal 3" xfId="3" xr:uid="{00000000-0005-0000-0000-000004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00"/>
  <sheetViews>
    <sheetView tabSelected="1" topLeftCell="A809" zoomScaleNormal="100" workbookViewId="0">
      <selection activeCell="F817" sqref="F817"/>
    </sheetView>
  </sheetViews>
  <sheetFormatPr defaultColWidth="8.85546875" defaultRowHeight="15"/>
  <cols>
    <col min="1" max="1" width="73.140625" customWidth="1"/>
    <col min="2" max="2" width="18.5703125" style="13" customWidth="1"/>
    <col min="3" max="3" width="17.140625" customWidth="1"/>
    <col min="4" max="4" width="24.42578125" bestFit="1" customWidth="1"/>
    <col min="5" max="5" width="11.42578125" customWidth="1"/>
    <col min="6" max="6" width="14.85546875" bestFit="1" customWidth="1"/>
    <col min="7" max="7" width="33.42578125" bestFit="1" customWidth="1"/>
    <col min="8" max="8" width="19.5703125" bestFit="1" customWidth="1"/>
    <col min="9" max="9" width="109.7109375" customWidth="1"/>
    <col min="10" max="10" width="31" customWidth="1"/>
  </cols>
  <sheetData>
    <row r="1" spans="1:14">
      <c r="A1" t="s">
        <v>14</v>
      </c>
      <c r="B1">
        <v>9</v>
      </c>
    </row>
    <row r="2" spans="1:14">
      <c r="A2" s="2" t="s">
        <v>0</v>
      </c>
      <c r="B2" s="3" t="s">
        <v>80</v>
      </c>
      <c r="C2" s="4"/>
      <c r="D2" s="4"/>
      <c r="E2" s="4"/>
      <c r="F2" s="4"/>
      <c r="G2" s="4"/>
      <c r="H2" s="4"/>
      <c r="I2" s="4"/>
      <c r="K2" s="5"/>
    </row>
    <row r="3" spans="1:14">
      <c r="A3" s="2"/>
      <c r="B3" s="3"/>
      <c r="C3" s="4"/>
      <c r="D3" s="4"/>
      <c r="E3" s="4"/>
      <c r="F3" s="4"/>
      <c r="G3" s="4"/>
      <c r="H3" s="4"/>
      <c r="I3" s="4"/>
      <c r="K3" s="5"/>
    </row>
    <row r="4" spans="1:14">
      <c r="A4" s="6"/>
      <c r="B4" s="7"/>
      <c r="C4" s="6"/>
      <c r="D4" s="6"/>
      <c r="E4" s="6"/>
      <c r="F4" s="6"/>
      <c r="G4" s="6"/>
      <c r="H4" s="6"/>
      <c r="I4" s="6"/>
      <c r="K4" s="5"/>
    </row>
    <row r="5" spans="1:14" ht="15.75">
      <c r="A5" s="18" t="s">
        <v>1</v>
      </c>
      <c r="B5" s="18" t="s">
        <v>101</v>
      </c>
      <c r="M5" t="s">
        <v>55</v>
      </c>
    </row>
    <row r="6" spans="1:14">
      <c r="A6" t="s">
        <v>2</v>
      </c>
      <c r="B6" t="s">
        <v>28</v>
      </c>
      <c r="M6" t="s">
        <v>55</v>
      </c>
    </row>
    <row r="7" spans="1:14">
      <c r="A7" t="s">
        <v>11</v>
      </c>
      <c r="B7" t="s">
        <v>56</v>
      </c>
    </row>
    <row r="8" spans="1:14">
      <c r="A8" t="s">
        <v>3</v>
      </c>
      <c r="B8">
        <v>1</v>
      </c>
      <c r="M8" t="s">
        <v>55</v>
      </c>
    </row>
    <row r="9" spans="1:14">
      <c r="A9" t="s">
        <v>57</v>
      </c>
      <c r="B9" t="s">
        <v>58</v>
      </c>
    </row>
    <row r="10" spans="1:14">
      <c r="A10" t="s">
        <v>4</v>
      </c>
      <c r="B10" t="s">
        <v>29</v>
      </c>
      <c r="M10" t="s">
        <v>55</v>
      </c>
    </row>
    <row r="11" spans="1:14">
      <c r="A11" t="s">
        <v>5</v>
      </c>
      <c r="B11" t="s">
        <v>59</v>
      </c>
      <c r="M11" t="s">
        <v>55</v>
      </c>
    </row>
    <row r="12" spans="1:14">
      <c r="A12" t="s">
        <v>6</v>
      </c>
      <c r="B12" t="s">
        <v>19</v>
      </c>
      <c r="M12" t="s">
        <v>55</v>
      </c>
    </row>
    <row r="13" spans="1:14" ht="15.75">
      <c r="A13" s="18" t="s">
        <v>7</v>
      </c>
      <c r="B13"/>
      <c r="M13" t="s">
        <v>55</v>
      </c>
    </row>
    <row r="14" spans="1:14" ht="15.75">
      <c r="A14" s="18" t="s">
        <v>8</v>
      </c>
      <c r="B14" s="18" t="s">
        <v>9</v>
      </c>
      <c r="C14" s="18" t="s">
        <v>2</v>
      </c>
      <c r="D14" s="18" t="s">
        <v>6</v>
      </c>
      <c r="E14" s="18" t="s">
        <v>10</v>
      </c>
      <c r="F14" s="18" t="s">
        <v>5</v>
      </c>
      <c r="G14" s="18" t="s">
        <v>4</v>
      </c>
      <c r="H14" s="18" t="s">
        <v>11</v>
      </c>
      <c r="I14" s="38"/>
    </row>
    <row r="15" spans="1:14">
      <c r="A15" t="str">
        <f>B5</f>
        <v>electricity supply, high voltage, from vanadium-redox flow battery system, Tr2050</v>
      </c>
      <c r="B15">
        <v>1</v>
      </c>
      <c r="C15" t="s">
        <v>28</v>
      </c>
      <c r="D15" t="str">
        <f>B12</f>
        <v>kilowatt hour</v>
      </c>
      <c r="F15" t="s">
        <v>18</v>
      </c>
      <c r="G15" t="str">
        <f>B10</f>
        <v>electricity, high voltage</v>
      </c>
      <c r="I15" s="5"/>
      <c r="J15" s="5"/>
      <c r="K15" s="5"/>
      <c r="L15" s="5"/>
      <c r="M15" s="5"/>
      <c r="N15" s="5"/>
    </row>
    <row r="16" spans="1:14">
      <c r="A16" t="s">
        <v>79</v>
      </c>
      <c r="B16">
        <v>1.33</v>
      </c>
      <c r="C16" t="s">
        <v>28</v>
      </c>
      <c r="D16" t="s">
        <v>19</v>
      </c>
      <c r="F16" t="s">
        <v>12</v>
      </c>
      <c r="G16" t="s">
        <v>29</v>
      </c>
      <c r="H16" t="s">
        <v>60</v>
      </c>
      <c r="I16" s="5"/>
      <c r="J16" s="5"/>
      <c r="K16" s="5"/>
      <c r="L16" s="5"/>
      <c r="M16" s="5"/>
      <c r="N16" s="5"/>
    </row>
    <row r="17" spans="1:34">
      <c r="A17" t="s">
        <v>61</v>
      </c>
      <c r="B17" s="21">
        <f>1/(49000000)</f>
        <v>2.0408163265306123E-8</v>
      </c>
      <c r="C17" t="s">
        <v>36</v>
      </c>
      <c r="D17" t="s">
        <v>6</v>
      </c>
      <c r="F17" t="s">
        <v>12</v>
      </c>
      <c r="G17" t="s">
        <v>62</v>
      </c>
      <c r="H17" t="s">
        <v>63</v>
      </c>
    </row>
    <row r="18" spans="1:34">
      <c r="A18" t="s">
        <v>64</v>
      </c>
      <c r="B18" s="21">
        <f>1/(49000000)</f>
        <v>2.0408163265306123E-8</v>
      </c>
      <c r="C18" t="s">
        <v>36</v>
      </c>
      <c r="D18" t="s">
        <v>6</v>
      </c>
      <c r="F18" t="s">
        <v>12</v>
      </c>
      <c r="G18" t="s">
        <v>65</v>
      </c>
      <c r="H18" t="s">
        <v>66</v>
      </c>
    </row>
    <row r="19" spans="1:34">
      <c r="A19" t="s">
        <v>67</v>
      </c>
      <c r="B19" s="21">
        <f>-0.41/1000</f>
        <v>-4.0999999999999999E-4</v>
      </c>
      <c r="C19" t="s">
        <v>36</v>
      </c>
      <c r="D19" t="s">
        <v>13</v>
      </c>
      <c r="F19" t="s">
        <v>12</v>
      </c>
      <c r="G19" t="s">
        <v>68</v>
      </c>
      <c r="H19" t="s">
        <v>69</v>
      </c>
    </row>
    <row r="20" spans="1:34">
      <c r="A20" t="s">
        <v>70</v>
      </c>
      <c r="B20">
        <f>-0.66/1000</f>
        <v>-6.6E-4</v>
      </c>
      <c r="C20" t="s">
        <v>36</v>
      </c>
      <c r="D20" t="s">
        <v>13</v>
      </c>
      <c r="F20" t="s">
        <v>12</v>
      </c>
      <c r="G20" t="s">
        <v>71</v>
      </c>
      <c r="H20" t="s">
        <v>72</v>
      </c>
    </row>
    <row r="21" spans="1:34">
      <c r="A21" t="s">
        <v>73</v>
      </c>
      <c r="B21">
        <f>-5.55/1000</f>
        <v>-5.5500000000000002E-3</v>
      </c>
      <c r="C21" t="s">
        <v>36</v>
      </c>
      <c r="D21" t="s">
        <v>13</v>
      </c>
      <c r="F21" t="s">
        <v>12</v>
      </c>
      <c r="G21" t="s">
        <v>74</v>
      </c>
      <c r="H21" t="s">
        <v>75</v>
      </c>
    </row>
    <row r="22" spans="1:34">
      <c r="A22" t="s">
        <v>76</v>
      </c>
      <c r="B22">
        <f>-0.1/1000</f>
        <v>-1E-4</v>
      </c>
      <c r="C22" t="s">
        <v>36</v>
      </c>
      <c r="D22" t="s">
        <v>13</v>
      </c>
      <c r="F22" t="s">
        <v>12</v>
      </c>
      <c r="G22" t="s">
        <v>77</v>
      </c>
      <c r="H22" t="s">
        <v>78</v>
      </c>
    </row>
    <row r="23" spans="1:34" s="49" customFormat="1">
      <c r="A23" s="47"/>
      <c r="B23" s="47"/>
      <c r="C23" s="48"/>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row>
    <row r="24" spans="1:34">
      <c r="A24" s="2" t="s">
        <v>1</v>
      </c>
      <c r="B24" s="23" t="s">
        <v>119</v>
      </c>
      <c r="C24" s="9"/>
      <c r="D24" s="6"/>
      <c r="E24" s="6"/>
      <c r="F24" s="6"/>
      <c r="G24" s="6"/>
      <c r="H24" s="6"/>
      <c r="I24" s="6"/>
      <c r="K24" s="5"/>
    </row>
    <row r="25" spans="1:34">
      <c r="A25" s="4" t="s">
        <v>3</v>
      </c>
      <c r="B25" s="10">
        <v>1</v>
      </c>
      <c r="C25" s="6"/>
      <c r="D25" s="6"/>
      <c r="E25" s="6"/>
      <c r="F25" s="6"/>
      <c r="G25" s="6"/>
      <c r="H25" s="6"/>
      <c r="I25" s="6"/>
      <c r="K25" s="5"/>
    </row>
    <row r="26" spans="1:34">
      <c r="A26" s="4" t="s">
        <v>11</v>
      </c>
      <c r="B26" s="11" t="s">
        <v>102</v>
      </c>
      <c r="C26" s="6"/>
      <c r="D26" s="6"/>
      <c r="E26" s="6"/>
      <c r="F26" s="6"/>
      <c r="G26" s="6"/>
      <c r="H26" s="6"/>
      <c r="I26" s="6"/>
      <c r="K26" s="5"/>
    </row>
    <row r="27" spans="1:34">
      <c r="A27" s="4" t="s">
        <v>4</v>
      </c>
      <c r="B27" t="s">
        <v>29</v>
      </c>
      <c r="C27" s="6"/>
      <c r="D27" s="6"/>
      <c r="E27" s="6"/>
      <c r="F27" s="6"/>
      <c r="G27" s="6"/>
      <c r="H27" s="6"/>
      <c r="I27" s="6"/>
      <c r="K27" s="5"/>
    </row>
    <row r="28" spans="1:34">
      <c r="A28" s="4" t="s">
        <v>2</v>
      </c>
      <c r="B28" s="11" t="s">
        <v>28</v>
      </c>
      <c r="C28" s="6"/>
      <c r="D28" s="6"/>
      <c r="E28" s="6"/>
      <c r="F28" s="6"/>
      <c r="G28" s="6"/>
      <c r="H28" s="6"/>
      <c r="I28" s="6"/>
      <c r="K28" s="5"/>
    </row>
    <row r="29" spans="1:34">
      <c r="A29" s="4" t="s">
        <v>6</v>
      </c>
      <c r="B29" s="7" t="s">
        <v>19</v>
      </c>
      <c r="C29" s="6"/>
      <c r="D29" s="6"/>
      <c r="E29" s="6"/>
      <c r="F29" s="6"/>
      <c r="G29" s="6"/>
      <c r="H29" s="12"/>
      <c r="I29" s="12"/>
      <c r="K29" s="5"/>
    </row>
    <row r="30" spans="1:34">
      <c r="A30" s="12" t="s">
        <v>7</v>
      </c>
      <c r="B30" s="8"/>
      <c r="C30" s="12"/>
      <c r="D30" s="12"/>
      <c r="E30" s="12"/>
      <c r="F30" s="12"/>
      <c r="G30" s="12"/>
      <c r="H30" s="9"/>
      <c r="I30" s="9"/>
      <c r="K30" s="5"/>
    </row>
    <row r="31" spans="1:34">
      <c r="A31" t="s">
        <v>8</v>
      </c>
      <c r="B31" s="13" t="s">
        <v>9</v>
      </c>
      <c r="C31" t="s">
        <v>2</v>
      </c>
      <c r="D31" t="s">
        <v>6</v>
      </c>
      <c r="E31" t="s">
        <v>5</v>
      </c>
      <c r="F31" t="s">
        <v>4</v>
      </c>
      <c r="G31" t="s">
        <v>10</v>
      </c>
      <c r="H31" s="1" t="s">
        <v>11</v>
      </c>
      <c r="J31" s="1"/>
      <c r="K31" s="5"/>
    </row>
    <row r="32" spans="1:34">
      <c r="A32" s="13" t="s">
        <v>119</v>
      </c>
      <c r="B32" s="13">
        <v>1</v>
      </c>
      <c r="C32" t="str">
        <f>B28</f>
        <v>FR</v>
      </c>
      <c r="D32" s="7" t="s">
        <v>19</v>
      </c>
      <c r="E32" t="s">
        <v>18</v>
      </c>
      <c r="F32" t="s">
        <v>29</v>
      </c>
      <c r="G32" s="9"/>
      <c r="H32" s="9"/>
      <c r="K32" s="5"/>
    </row>
    <row r="33" spans="1:34">
      <c r="A33" t="s">
        <v>103</v>
      </c>
      <c r="B33" s="13">
        <v>4.0404040404040398E-13</v>
      </c>
      <c r="C33" t="s">
        <v>36</v>
      </c>
      <c r="D33" t="s">
        <v>6</v>
      </c>
      <c r="E33" t="s">
        <v>12</v>
      </c>
      <c r="F33" t="s">
        <v>104</v>
      </c>
    </row>
    <row r="34" spans="1:34">
      <c r="A34" t="s">
        <v>105</v>
      </c>
      <c r="B34" s="13">
        <v>7.5599999999999996E-6</v>
      </c>
      <c r="C34" t="s">
        <v>36</v>
      </c>
      <c r="D34" t="s">
        <v>13</v>
      </c>
      <c r="E34" t="s">
        <v>12</v>
      </c>
      <c r="F34" t="s">
        <v>106</v>
      </c>
    </row>
    <row r="35" spans="1:34">
      <c r="A35" t="s">
        <v>107</v>
      </c>
      <c r="B35" s="13">
        <v>-7.5599999999999996E-6</v>
      </c>
      <c r="C35" t="s">
        <v>22</v>
      </c>
      <c r="D35" t="s">
        <v>13</v>
      </c>
      <c r="E35" t="s">
        <v>12</v>
      </c>
      <c r="F35" t="s">
        <v>108</v>
      </c>
    </row>
    <row r="36" spans="1:34">
      <c r="A36" t="s">
        <v>79</v>
      </c>
      <c r="B36" s="13">
        <v>1.25125</v>
      </c>
      <c r="C36" t="s">
        <v>28</v>
      </c>
      <c r="D36" t="s">
        <v>19</v>
      </c>
      <c r="E36" t="s">
        <v>12</v>
      </c>
      <c r="F36" t="s">
        <v>29</v>
      </c>
    </row>
    <row r="37" spans="1:34">
      <c r="A37" t="s">
        <v>85</v>
      </c>
      <c r="B37" s="13">
        <v>7.7000000000000001E-8</v>
      </c>
      <c r="D37" t="s">
        <v>13</v>
      </c>
      <c r="E37" t="s">
        <v>15</v>
      </c>
      <c r="G37" t="s">
        <v>109</v>
      </c>
    </row>
    <row r="38" spans="1:34">
      <c r="A38" t="s">
        <v>110</v>
      </c>
      <c r="B38" s="13">
        <v>1.4E-5</v>
      </c>
      <c r="D38" t="s">
        <v>13</v>
      </c>
      <c r="E38" t="s">
        <v>15</v>
      </c>
      <c r="G38" t="s">
        <v>109</v>
      </c>
    </row>
    <row r="39" spans="1:34">
      <c r="A39" t="s">
        <v>93</v>
      </c>
      <c r="B39" s="13">
        <v>2.49876858810916E-4</v>
      </c>
      <c r="D39" t="s">
        <v>91</v>
      </c>
      <c r="E39" t="s">
        <v>15</v>
      </c>
      <c r="G39" t="s">
        <v>25</v>
      </c>
    </row>
    <row r="40" spans="1:34">
      <c r="A40" t="s">
        <v>93</v>
      </c>
      <c r="B40" s="13">
        <v>1.1580501231411899</v>
      </c>
      <c r="D40" t="s">
        <v>91</v>
      </c>
      <c r="E40" t="s">
        <v>15</v>
      </c>
      <c r="G40" t="s">
        <v>94</v>
      </c>
    </row>
    <row r="41" spans="1:34">
      <c r="A41" t="s">
        <v>111</v>
      </c>
      <c r="B41" s="13">
        <v>3.4499999999999999E-3</v>
      </c>
      <c r="D41" t="s">
        <v>17</v>
      </c>
      <c r="E41" t="s">
        <v>15</v>
      </c>
      <c r="G41" t="s">
        <v>16</v>
      </c>
    </row>
    <row r="42" spans="1:34">
      <c r="A42" t="s">
        <v>112</v>
      </c>
      <c r="B42" s="13">
        <v>2.3E-5</v>
      </c>
      <c r="D42" t="s">
        <v>113</v>
      </c>
      <c r="E42" t="s">
        <v>15</v>
      </c>
      <c r="G42" t="s">
        <v>16</v>
      </c>
    </row>
    <row r="43" spans="1:34">
      <c r="A43" t="s">
        <v>114</v>
      </c>
      <c r="B43" s="13">
        <v>2.2999999999999999E-7</v>
      </c>
      <c r="D43" t="s">
        <v>113</v>
      </c>
      <c r="E43" t="s">
        <v>15</v>
      </c>
      <c r="G43" t="s">
        <v>16</v>
      </c>
    </row>
    <row r="44" spans="1:34">
      <c r="A44" t="s">
        <v>115</v>
      </c>
      <c r="B44" s="13">
        <v>2.2770000000000001E-5</v>
      </c>
      <c r="D44" t="s">
        <v>113</v>
      </c>
      <c r="E44" t="s">
        <v>15</v>
      </c>
      <c r="G44" t="s">
        <v>16</v>
      </c>
    </row>
    <row r="45" spans="1:34">
      <c r="A45" t="s">
        <v>116</v>
      </c>
      <c r="B45" s="13">
        <v>0.15</v>
      </c>
      <c r="D45" t="s">
        <v>117</v>
      </c>
      <c r="E45" t="s">
        <v>15</v>
      </c>
      <c r="G45" t="s">
        <v>92</v>
      </c>
    </row>
    <row r="46" spans="1:34">
      <c r="A46" t="s">
        <v>118</v>
      </c>
      <c r="B46" s="13">
        <v>1.1583000000000001</v>
      </c>
      <c r="D46" t="s">
        <v>91</v>
      </c>
      <c r="E46" t="s">
        <v>15</v>
      </c>
      <c r="G46" t="s">
        <v>92</v>
      </c>
    </row>
    <row r="47" spans="1:34" s="49" customFormat="1">
      <c r="A47" s="47"/>
      <c r="B47" s="47"/>
      <c r="C47" s="48"/>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row>
    <row r="48" spans="1:34" s="15" customFormat="1" ht="15.75">
      <c r="A48" s="2" t="s">
        <v>1</v>
      </c>
      <c r="B48" s="23" t="s">
        <v>100</v>
      </c>
      <c r="C48" s="2"/>
      <c r="D48" s="23"/>
      <c r="E48" s="2"/>
      <c r="F48" s="23"/>
      <c r="G48" s="2"/>
      <c r="H48" s="23"/>
      <c r="K48" s="16"/>
      <c r="L48" s="16"/>
      <c r="M48" s="16"/>
      <c r="N48" s="16"/>
      <c r="O48" s="16"/>
      <c r="P48" s="16"/>
    </row>
    <row r="49" spans="1:20" s="15" customFormat="1" ht="15.75">
      <c r="A49" s="2" t="s">
        <v>3</v>
      </c>
      <c r="B49">
        <v>1</v>
      </c>
      <c r="C49" s="2"/>
      <c r="D49" s="23"/>
      <c r="E49" s="2"/>
      <c r="F49" s="23"/>
      <c r="G49" s="2"/>
      <c r="H49" s="23"/>
      <c r="K49" s="16"/>
      <c r="L49" s="16"/>
      <c r="M49" s="16"/>
      <c r="N49" s="16"/>
      <c r="O49" s="16"/>
      <c r="P49" s="16"/>
    </row>
    <row r="50" spans="1:20" s="15" customFormat="1" ht="15.75">
      <c r="A50" s="2" t="s">
        <v>11</v>
      </c>
      <c r="B50" t="s">
        <v>37</v>
      </c>
      <c r="C50" s="2"/>
      <c r="D50" s="23"/>
      <c r="E50" s="2"/>
      <c r="F50" s="23"/>
      <c r="G50" s="2"/>
      <c r="H50" s="23"/>
      <c r="K50" s="16"/>
      <c r="L50" s="16"/>
      <c r="M50" s="16"/>
      <c r="N50" s="16"/>
      <c r="O50" s="16"/>
      <c r="P50" s="16"/>
    </row>
    <row r="51" spans="1:20" s="15" customFormat="1" ht="15.75">
      <c r="A51" s="2" t="s">
        <v>4</v>
      </c>
      <c r="B51" t="s">
        <v>38</v>
      </c>
      <c r="C51" s="2"/>
      <c r="D51" s="23"/>
      <c r="E51" s="2"/>
      <c r="F51" s="23"/>
      <c r="G51" s="2"/>
      <c r="H51" s="23"/>
      <c r="K51" s="16"/>
      <c r="L51" s="16"/>
      <c r="M51" s="16"/>
      <c r="N51" s="16"/>
      <c r="O51" s="16"/>
      <c r="P51" s="16"/>
    </row>
    <row r="52" spans="1:20" s="15" customFormat="1" ht="15.75">
      <c r="A52" s="2" t="s">
        <v>2</v>
      </c>
      <c r="B52" t="s">
        <v>28</v>
      </c>
      <c r="C52" s="2"/>
      <c r="D52" s="23"/>
      <c r="E52" s="2"/>
      <c r="F52" s="23"/>
      <c r="G52" s="2"/>
      <c r="H52" s="23"/>
      <c r="K52" s="16"/>
      <c r="L52" s="16"/>
      <c r="M52" s="16"/>
      <c r="N52" s="16"/>
      <c r="O52" s="16"/>
      <c r="P52" s="16"/>
    </row>
    <row r="53" spans="1:20" s="15" customFormat="1" ht="15.75">
      <c r="A53" s="2" t="s">
        <v>6</v>
      </c>
      <c r="B53" t="s">
        <v>13</v>
      </c>
      <c r="C53" s="2"/>
      <c r="D53" s="23"/>
      <c r="E53" s="2"/>
      <c r="F53" s="23"/>
      <c r="G53" s="2"/>
      <c r="H53" s="23"/>
      <c r="I53" s="17"/>
      <c r="J53" s="17"/>
      <c r="K53" s="16"/>
      <c r="L53" s="16"/>
      <c r="M53" s="16"/>
      <c r="N53" s="16"/>
      <c r="O53" s="16"/>
      <c r="P53" s="16"/>
    </row>
    <row r="54" spans="1:20" s="15" customFormat="1" ht="15.75">
      <c r="A54" s="2" t="s">
        <v>7</v>
      </c>
      <c r="B54" s="23"/>
      <c r="C54" s="2"/>
      <c r="D54" s="23"/>
      <c r="E54" s="2"/>
      <c r="F54" s="23"/>
      <c r="G54" s="2"/>
      <c r="H54" s="23"/>
      <c r="I54" s="14"/>
      <c r="J54" s="14"/>
      <c r="K54" s="16"/>
      <c r="L54" s="16"/>
      <c r="M54" s="16"/>
      <c r="N54" s="16"/>
      <c r="O54" s="16"/>
      <c r="P54" s="16"/>
    </row>
    <row r="55" spans="1:20" s="15" customFormat="1" ht="15.75">
      <c r="A55" s="2" t="s">
        <v>8</v>
      </c>
      <c r="B55" s="23" t="s">
        <v>9</v>
      </c>
      <c r="C55" s="2" t="s">
        <v>2</v>
      </c>
      <c r="D55" s="23" t="s">
        <v>6</v>
      </c>
      <c r="E55" s="2" t="s">
        <v>10</v>
      </c>
      <c r="F55" s="23" t="s">
        <v>5</v>
      </c>
      <c r="G55" s="2" t="s">
        <v>4</v>
      </c>
      <c r="H55" s="23" t="s">
        <v>11</v>
      </c>
      <c r="I55" s="17"/>
      <c r="J55" s="18"/>
      <c r="K55" s="19"/>
      <c r="L55" s="19"/>
      <c r="M55" s="19"/>
      <c r="N55" s="19"/>
      <c r="O55" s="19"/>
      <c r="P55" s="19"/>
      <c r="Q55" s="18"/>
      <c r="R55" s="18"/>
      <c r="S55" s="17"/>
      <c r="T55" s="18"/>
    </row>
    <row r="56" spans="1:20" s="15" customFormat="1" ht="15.75">
      <c r="A56" t="s">
        <v>54</v>
      </c>
      <c r="B56">
        <v>1</v>
      </c>
      <c r="C56" t="str">
        <f>B52</f>
        <v>FR</v>
      </c>
      <c r="D56" t="str">
        <f>B53</f>
        <v>kilogram</v>
      </c>
      <c r="E56"/>
      <c r="F56" t="s">
        <v>18</v>
      </c>
      <c r="G56" t="s">
        <v>38</v>
      </c>
      <c r="H56"/>
      <c r="I56" s="14"/>
      <c r="K56" s="16"/>
      <c r="L56" s="16"/>
      <c r="M56" s="16"/>
      <c r="N56" s="16"/>
      <c r="O56" s="16"/>
      <c r="P56" s="16"/>
      <c r="T56"/>
    </row>
    <row r="57" spans="1:20" s="15" customFormat="1" ht="15.75">
      <c r="A57" t="s">
        <v>52</v>
      </c>
      <c r="B57">
        <f>(1/2963200)*4</f>
        <v>1.3498920086393089E-6</v>
      </c>
      <c r="C57" t="s">
        <v>36</v>
      </c>
      <c r="D57" t="s">
        <v>6</v>
      </c>
      <c r="E57"/>
      <c r="F57" t="s">
        <v>12</v>
      </c>
      <c r="G57" t="s">
        <v>39</v>
      </c>
      <c r="H57" t="s">
        <v>40</v>
      </c>
      <c r="J57"/>
      <c r="K57" s="20"/>
      <c r="L57" s="20"/>
      <c r="M57" s="20"/>
      <c r="N57" s="20"/>
      <c r="O57" s="20"/>
      <c r="P57" s="20"/>
      <c r="Q57"/>
      <c r="R57"/>
    </row>
    <row r="58" spans="1:20" s="15" customFormat="1" ht="15.75">
      <c r="A58" t="s">
        <v>53</v>
      </c>
      <c r="B58">
        <f>1/2963200</f>
        <v>3.3747300215982723E-7</v>
      </c>
      <c r="C58" t="s">
        <v>36</v>
      </c>
      <c r="D58" t="s">
        <v>6</v>
      </c>
      <c r="E58"/>
      <c r="F58" t="s">
        <v>12</v>
      </c>
      <c r="G58" t="s">
        <v>41</v>
      </c>
      <c r="H58" t="s">
        <v>42</v>
      </c>
      <c r="J58"/>
      <c r="K58" s="20"/>
      <c r="L58" s="20"/>
      <c r="M58" s="20"/>
      <c r="N58" s="20"/>
      <c r="O58" s="20"/>
      <c r="P58" s="20"/>
      <c r="Q58"/>
      <c r="R58"/>
    </row>
    <row r="59" spans="1:20" s="15" customFormat="1" ht="15.75">
      <c r="A59" t="s">
        <v>43</v>
      </c>
      <c r="B59">
        <f>B57*-1</f>
        <v>-1.3498920086393089E-6</v>
      </c>
      <c r="C59" t="s">
        <v>36</v>
      </c>
      <c r="D59" t="s">
        <v>6</v>
      </c>
      <c r="E59"/>
      <c r="F59" t="s">
        <v>12</v>
      </c>
      <c r="G59" t="s">
        <v>44</v>
      </c>
      <c r="H59" t="s">
        <v>45</v>
      </c>
      <c r="J59"/>
      <c r="K59" s="20"/>
      <c r="L59" s="20"/>
      <c r="M59" s="20"/>
      <c r="N59" s="20"/>
      <c r="O59" s="20"/>
      <c r="P59" s="20"/>
      <c r="Q59"/>
      <c r="R59"/>
    </row>
    <row r="60" spans="1:20" s="15" customFormat="1" ht="15.75">
      <c r="A60" t="s">
        <v>46</v>
      </c>
      <c r="B60">
        <f>-1*B58</f>
        <v>-3.3747300215982723E-7</v>
      </c>
      <c r="C60" t="s">
        <v>36</v>
      </c>
      <c r="D60" t="s">
        <v>6</v>
      </c>
      <c r="E60"/>
      <c r="F60" t="s">
        <v>12</v>
      </c>
      <c r="G60" t="s">
        <v>47</v>
      </c>
      <c r="H60" t="s">
        <v>48</v>
      </c>
      <c r="J60"/>
      <c r="K60" s="20"/>
      <c r="L60" s="20"/>
      <c r="M60" s="20"/>
      <c r="N60" s="20"/>
      <c r="O60" s="20"/>
      <c r="P60" s="20"/>
      <c r="Q60"/>
      <c r="R60"/>
    </row>
    <row r="61" spans="1:20" s="15" customFormat="1" ht="15.75">
      <c r="A61" t="s">
        <v>27</v>
      </c>
      <c r="B61">
        <v>54</v>
      </c>
      <c r="C61" t="s">
        <v>28</v>
      </c>
      <c r="D61" t="s">
        <v>19</v>
      </c>
      <c r="E61"/>
      <c r="F61" t="s">
        <v>12</v>
      </c>
      <c r="G61" t="s">
        <v>20</v>
      </c>
      <c r="H61" t="s">
        <v>49</v>
      </c>
      <c r="J61"/>
      <c r="K61" s="20"/>
      <c r="L61" s="20"/>
      <c r="M61" s="20"/>
      <c r="N61" s="20"/>
      <c r="O61" s="20"/>
      <c r="P61" s="20"/>
      <c r="Q61"/>
      <c r="R61"/>
    </row>
    <row r="62" spans="1:20" s="15" customFormat="1" ht="15.75">
      <c r="A62" t="s">
        <v>21</v>
      </c>
      <c r="B62">
        <v>14</v>
      </c>
      <c r="C62" t="s">
        <v>22</v>
      </c>
      <c r="D62" t="s">
        <v>13</v>
      </c>
      <c r="E62"/>
      <c r="F62" t="s">
        <v>12</v>
      </c>
      <c r="G62" t="s">
        <v>23</v>
      </c>
      <c r="H62" t="s">
        <v>50</v>
      </c>
      <c r="J62"/>
      <c r="K62" s="20"/>
      <c r="L62" s="20"/>
      <c r="M62" s="20"/>
      <c r="N62" s="20"/>
      <c r="O62" s="20"/>
      <c r="P62" s="20"/>
      <c r="Q62"/>
      <c r="R62"/>
    </row>
    <row r="63" spans="1:20" s="15" customFormat="1" ht="15.75">
      <c r="A63" t="s">
        <v>24</v>
      </c>
      <c r="B63">
        <v>8</v>
      </c>
      <c r="C63"/>
      <c r="D63" t="s">
        <v>13</v>
      </c>
      <c r="E63" t="s">
        <v>25</v>
      </c>
      <c r="F63" t="s">
        <v>15</v>
      </c>
      <c r="G63"/>
      <c r="H63"/>
      <c r="J63"/>
      <c r="K63" s="20"/>
      <c r="L63" s="20"/>
      <c r="M63" s="20"/>
      <c r="N63" s="20"/>
      <c r="O63" s="20"/>
      <c r="P63" s="20"/>
      <c r="Q63" s="20"/>
      <c r="R63"/>
    </row>
    <row r="64" spans="1:20" s="15" customFormat="1" ht="15.75">
      <c r="A64" t="s">
        <v>51</v>
      </c>
      <c r="B64">
        <f>(0.09*1000*20)/2963200</f>
        <v>6.0745140388768898E-4</v>
      </c>
      <c r="C64"/>
      <c r="D64" t="s">
        <v>17</v>
      </c>
      <c r="E64" t="s">
        <v>16</v>
      </c>
      <c r="F64" t="s">
        <v>15</v>
      </c>
      <c r="G64">
        <f>120/3.6/0.72</f>
        <v>46.296296296296305</v>
      </c>
      <c r="H64"/>
      <c r="J64"/>
      <c r="K64" s="20"/>
      <c r="L64" s="20"/>
      <c r="M64" s="20"/>
      <c r="N64" s="20"/>
      <c r="O64" s="20"/>
      <c r="P64" s="20"/>
      <c r="Q64" s="20"/>
      <c r="R64"/>
    </row>
    <row r="65" spans="1:34" s="49" customFormat="1">
      <c r="A65" s="47"/>
      <c r="B65" s="47"/>
      <c r="C65" s="48"/>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row>
    <row r="66" spans="1:34" ht="15.75">
      <c r="A66" s="18" t="s">
        <v>1</v>
      </c>
      <c r="B66" s="18" t="s">
        <v>180</v>
      </c>
    </row>
    <row r="67" spans="1:34">
      <c r="A67" t="s">
        <v>2</v>
      </c>
      <c r="B67" t="s">
        <v>28</v>
      </c>
    </row>
    <row r="68" spans="1:34">
      <c r="A68" t="s">
        <v>11</v>
      </c>
      <c r="B68" t="s">
        <v>181</v>
      </c>
    </row>
    <row r="69" spans="1:34">
      <c r="A69" t="s">
        <v>3</v>
      </c>
      <c r="B69">
        <v>1</v>
      </c>
    </row>
    <row r="70" spans="1:34">
      <c r="A70" t="s">
        <v>57</v>
      </c>
      <c r="B70"/>
    </row>
    <row r="71" spans="1:34">
      <c r="A71" t="s">
        <v>4</v>
      </c>
      <c r="B71" t="s">
        <v>182</v>
      </c>
    </row>
    <row r="72" spans="1:34">
      <c r="A72" t="s">
        <v>5</v>
      </c>
      <c r="B72" t="s">
        <v>59</v>
      </c>
    </row>
    <row r="73" spans="1:34">
      <c r="A73" t="s">
        <v>6</v>
      </c>
      <c r="B73" s="22" t="s">
        <v>13</v>
      </c>
    </row>
    <row r="74" spans="1:34" ht="15.75">
      <c r="A74" s="18" t="s">
        <v>7</v>
      </c>
      <c r="B74"/>
    </row>
    <row r="75" spans="1:34" ht="15.75">
      <c r="A75" s="18" t="s">
        <v>8</v>
      </c>
      <c r="B75" s="18" t="s">
        <v>9</v>
      </c>
      <c r="C75" s="18" t="s">
        <v>2</v>
      </c>
      <c r="D75" s="18" t="s">
        <v>6</v>
      </c>
      <c r="E75" s="18" t="s">
        <v>10</v>
      </c>
      <c r="F75" s="18" t="s">
        <v>5</v>
      </c>
      <c r="G75" s="18" t="s">
        <v>4</v>
      </c>
      <c r="H75" s="18" t="s">
        <v>11</v>
      </c>
    </row>
    <row r="76" spans="1:34">
      <c r="A76" t="str">
        <f>B66</f>
        <v>empty activity, for market that does not exist any more in 2050, Tr2050</v>
      </c>
      <c r="B76">
        <v>1</v>
      </c>
      <c r="C76" t="s">
        <v>28</v>
      </c>
      <c r="D76" t="str">
        <f>B73</f>
        <v>kilogram</v>
      </c>
      <c r="F76" t="s">
        <v>18</v>
      </c>
      <c r="G76" t="str">
        <f>B71</f>
        <v>nothing</v>
      </c>
    </row>
    <row r="77" spans="1:34" s="49" customFormat="1">
      <c r="A77" s="47"/>
      <c r="B77" s="47"/>
      <c r="C77" s="48"/>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row>
    <row r="78" spans="1:34">
      <c r="A78" s="24" t="s">
        <v>1</v>
      </c>
      <c r="B78" s="24" t="s">
        <v>120</v>
      </c>
      <c r="C78" s="25"/>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row>
    <row r="79" spans="1:34">
      <c r="A79" s="24" t="s">
        <v>11</v>
      </c>
      <c r="B79" s="26" t="s">
        <v>307</v>
      </c>
      <c r="C79" s="25"/>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row>
    <row r="80" spans="1:34">
      <c r="A80" s="24" t="s">
        <v>2</v>
      </c>
      <c r="B80" s="26" t="s">
        <v>28</v>
      </c>
      <c r="C80" s="25"/>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row>
    <row r="81" spans="1:34">
      <c r="A81" s="27" t="s">
        <v>4</v>
      </c>
      <c r="B81" s="26" t="s">
        <v>121</v>
      </c>
      <c r="C81" s="25"/>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row>
    <row r="82" spans="1:34">
      <c r="A82" s="24" t="s">
        <v>3</v>
      </c>
      <c r="B82" s="28">
        <v>1</v>
      </c>
      <c r="C82" s="25"/>
      <c r="D82" s="31"/>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row>
    <row r="83" spans="1:34">
      <c r="A83" s="24" t="s">
        <v>6</v>
      </c>
      <c r="B83" s="26" t="s">
        <v>91</v>
      </c>
      <c r="C83" s="25"/>
      <c r="D83" s="29"/>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row>
    <row r="84" spans="1:34">
      <c r="A84" s="24" t="s">
        <v>57</v>
      </c>
      <c r="B84" s="26"/>
      <c r="C84" s="25"/>
      <c r="D84" s="29"/>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row>
    <row r="85" spans="1:34">
      <c r="A85" s="24" t="s">
        <v>7</v>
      </c>
      <c r="B85" s="26"/>
      <c r="C85" s="25"/>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row>
    <row r="86" spans="1:34">
      <c r="A86" s="24" t="s">
        <v>8</v>
      </c>
      <c r="B86" s="24" t="s">
        <v>4</v>
      </c>
      <c r="C86" s="30" t="s">
        <v>9</v>
      </c>
      <c r="D86" s="24" t="s">
        <v>6</v>
      </c>
      <c r="E86" s="24" t="s">
        <v>81</v>
      </c>
      <c r="F86" s="24" t="s">
        <v>10</v>
      </c>
      <c r="G86" s="24" t="s">
        <v>2</v>
      </c>
      <c r="H86" s="24" t="s">
        <v>5</v>
      </c>
      <c r="I86" s="24" t="s">
        <v>11</v>
      </c>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row>
    <row r="87" spans="1:34">
      <c r="A87" s="31" t="s">
        <v>120</v>
      </c>
      <c r="B87" s="31" t="s">
        <v>121</v>
      </c>
      <c r="C87" s="32">
        <v>1</v>
      </c>
      <c r="D87" s="26" t="s">
        <v>91</v>
      </c>
      <c r="E87" s="31" t="s">
        <v>122</v>
      </c>
      <c r="F87" s="31"/>
      <c r="G87" s="31" t="s">
        <v>28</v>
      </c>
      <c r="H87" s="31" t="s">
        <v>18</v>
      </c>
      <c r="I87" s="31"/>
      <c r="J87" s="31"/>
      <c r="K87" s="31"/>
      <c r="L87" s="26"/>
      <c r="M87" s="26"/>
      <c r="N87" s="26"/>
      <c r="O87" s="26"/>
      <c r="P87" s="26"/>
      <c r="Q87" s="26"/>
      <c r="R87" s="26"/>
      <c r="S87" s="26"/>
      <c r="T87" s="26"/>
      <c r="U87" s="26"/>
      <c r="V87" s="26"/>
      <c r="W87" s="26"/>
      <c r="X87" s="26"/>
      <c r="Y87" s="26"/>
      <c r="Z87" s="26"/>
      <c r="AA87" s="26"/>
      <c r="AB87" s="26"/>
      <c r="AC87" s="26"/>
      <c r="AD87" s="26"/>
      <c r="AE87" s="26"/>
      <c r="AF87" s="26"/>
      <c r="AG87" s="26"/>
      <c r="AH87" s="26"/>
    </row>
    <row r="88" spans="1:34">
      <c r="A88" s="31" t="s">
        <v>200</v>
      </c>
      <c r="B88" s="31" t="s">
        <v>201</v>
      </c>
      <c r="C88" s="32">
        <v>0</v>
      </c>
      <c r="D88" s="26" t="s">
        <v>13</v>
      </c>
      <c r="E88" s="31" t="s">
        <v>131</v>
      </c>
      <c r="F88" s="31"/>
      <c r="G88" s="31" t="s">
        <v>28</v>
      </c>
      <c r="H88" s="31" t="s">
        <v>12</v>
      </c>
      <c r="I88" s="31"/>
      <c r="J88" s="31"/>
      <c r="K88" s="31"/>
      <c r="L88" s="26"/>
      <c r="M88" s="26"/>
      <c r="N88" s="26"/>
      <c r="O88" s="26"/>
      <c r="P88" s="26"/>
      <c r="Q88" s="26"/>
      <c r="R88" s="26"/>
      <c r="S88" s="26"/>
      <c r="T88" s="26"/>
      <c r="U88" s="26"/>
      <c r="V88" s="26"/>
      <c r="W88" s="26"/>
      <c r="X88" s="26"/>
      <c r="Y88" s="26"/>
      <c r="Z88" s="26"/>
      <c r="AA88" s="26"/>
      <c r="AB88" s="26"/>
      <c r="AC88" s="26"/>
      <c r="AD88" s="26"/>
      <c r="AE88" s="26"/>
      <c r="AF88" s="26"/>
      <c r="AG88" s="26"/>
      <c r="AH88" s="26"/>
    </row>
    <row r="89" spans="1:34">
      <c r="A89" s="31" t="s">
        <v>27</v>
      </c>
      <c r="B89" s="31" t="s">
        <v>20</v>
      </c>
      <c r="C89" s="32">
        <v>0</v>
      </c>
      <c r="D89" s="26" t="s">
        <v>19</v>
      </c>
      <c r="E89" s="31" t="s">
        <v>131</v>
      </c>
      <c r="F89" s="31"/>
      <c r="G89" s="31" t="s">
        <v>28</v>
      </c>
      <c r="H89" s="31" t="s">
        <v>12</v>
      </c>
      <c r="I89" s="31"/>
      <c r="J89" s="31"/>
      <c r="K89" s="31"/>
      <c r="L89" s="26"/>
      <c r="M89" s="26"/>
      <c r="N89" s="26"/>
      <c r="O89" s="26"/>
      <c r="P89" s="26"/>
      <c r="Q89" s="26"/>
      <c r="R89" s="26"/>
      <c r="S89" s="26"/>
      <c r="T89" s="26"/>
      <c r="U89" s="26"/>
      <c r="V89" s="26"/>
      <c r="W89" s="26"/>
      <c r="X89" s="26"/>
      <c r="Y89" s="26"/>
      <c r="Z89" s="26"/>
      <c r="AA89" s="26"/>
      <c r="AB89" s="26"/>
      <c r="AC89" s="26"/>
      <c r="AD89" s="26"/>
      <c r="AE89" s="26"/>
      <c r="AF89" s="26"/>
      <c r="AG89" s="26"/>
      <c r="AH89" s="26"/>
    </row>
    <row r="90" spans="1:34">
      <c r="A90" s="26" t="s">
        <v>132</v>
      </c>
      <c r="B90" s="31" t="s">
        <v>133</v>
      </c>
      <c r="C90" s="32">
        <v>0</v>
      </c>
      <c r="D90" s="26" t="s">
        <v>6</v>
      </c>
      <c r="E90" s="31" t="s">
        <v>131</v>
      </c>
      <c r="F90" s="31"/>
      <c r="G90" s="31" t="s">
        <v>134</v>
      </c>
      <c r="H90" s="31" t="s">
        <v>12</v>
      </c>
      <c r="I90" s="39"/>
      <c r="J90" s="31"/>
      <c r="K90" s="31"/>
      <c r="L90" s="26"/>
      <c r="M90" s="26"/>
      <c r="N90" s="26"/>
      <c r="O90" s="26"/>
      <c r="P90" s="26"/>
      <c r="Q90" s="26"/>
      <c r="R90" s="26"/>
      <c r="S90" s="26"/>
      <c r="T90" s="26"/>
      <c r="U90" s="26"/>
      <c r="V90" s="26"/>
      <c r="W90" s="26"/>
      <c r="X90" s="26"/>
      <c r="Y90" s="26"/>
      <c r="Z90" s="26"/>
      <c r="AA90" s="26"/>
      <c r="AB90" s="26"/>
      <c r="AC90" s="26"/>
      <c r="AD90" s="26"/>
      <c r="AE90" s="26"/>
      <c r="AF90" s="26"/>
      <c r="AG90" s="26"/>
      <c r="AH90" s="26"/>
    </row>
    <row r="91" spans="1:34">
      <c r="A91" s="31" t="s">
        <v>135</v>
      </c>
      <c r="B91" s="31" t="s">
        <v>136</v>
      </c>
      <c r="C91" s="32">
        <v>0</v>
      </c>
      <c r="D91" s="26" t="s">
        <v>6</v>
      </c>
      <c r="E91" s="31" t="s">
        <v>131</v>
      </c>
      <c r="F91" s="31"/>
      <c r="G91" s="31" t="s">
        <v>96</v>
      </c>
      <c r="H91" s="31" t="s">
        <v>12</v>
      </c>
      <c r="I91" s="26"/>
      <c r="J91" s="31"/>
      <c r="K91" s="31"/>
      <c r="L91" s="26"/>
      <c r="M91" s="26"/>
      <c r="N91" s="26"/>
      <c r="O91" s="26"/>
      <c r="P91" s="26"/>
      <c r="Q91" s="26"/>
      <c r="R91" s="26"/>
      <c r="S91" s="26"/>
      <c r="T91" s="26"/>
      <c r="U91" s="26"/>
      <c r="V91" s="26"/>
      <c r="W91" s="26"/>
      <c r="X91" s="26"/>
      <c r="Y91" s="26"/>
      <c r="Z91" s="26"/>
      <c r="AA91" s="26"/>
      <c r="AB91" s="26"/>
      <c r="AC91" s="26"/>
      <c r="AD91" s="26"/>
      <c r="AE91" s="26"/>
      <c r="AF91" s="26"/>
      <c r="AG91" s="26"/>
      <c r="AH91" s="26"/>
    </row>
    <row r="92" spans="1:34">
      <c r="A92" s="25" t="s">
        <v>123</v>
      </c>
      <c r="B92" s="26"/>
      <c r="C92" s="32">
        <v>2.2403011395943495</v>
      </c>
      <c r="D92" s="26" t="s">
        <v>13</v>
      </c>
      <c r="E92" s="26" t="s">
        <v>83</v>
      </c>
      <c r="F92" s="26" t="s">
        <v>124</v>
      </c>
      <c r="G92" s="26"/>
      <c r="H92" s="26" t="s">
        <v>15</v>
      </c>
      <c r="I92" s="26" t="s">
        <v>137</v>
      </c>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row>
    <row r="93" spans="1:34">
      <c r="A93" s="31" t="s">
        <v>138</v>
      </c>
      <c r="B93" s="31"/>
      <c r="C93" s="32">
        <v>0</v>
      </c>
      <c r="D93" s="26" t="s">
        <v>13</v>
      </c>
      <c r="E93" s="26" t="s">
        <v>83</v>
      </c>
      <c r="F93" s="31" t="s">
        <v>109</v>
      </c>
      <c r="G93" s="31"/>
      <c r="H93" s="26" t="s">
        <v>15</v>
      </c>
      <c r="I93" s="26" t="s">
        <v>139</v>
      </c>
      <c r="J93" s="31"/>
      <c r="K93" s="31"/>
      <c r="L93" s="26"/>
      <c r="M93" s="26"/>
      <c r="N93" s="26"/>
      <c r="O93" s="26"/>
      <c r="P93" s="26"/>
      <c r="Q93" s="26"/>
      <c r="R93" s="26"/>
      <c r="S93" s="26"/>
      <c r="T93" s="26"/>
      <c r="U93" s="26"/>
      <c r="V93" s="26"/>
      <c r="W93" s="26"/>
      <c r="X93" s="26"/>
      <c r="Y93" s="26"/>
      <c r="Z93" s="26"/>
      <c r="AA93" s="26"/>
      <c r="AB93" s="26"/>
      <c r="AC93" s="26"/>
      <c r="AD93" s="26"/>
      <c r="AE93" s="26"/>
      <c r="AF93" s="26"/>
      <c r="AG93" s="26"/>
      <c r="AH93" s="26"/>
    </row>
    <row r="94" spans="1:34">
      <c r="A94" s="31" t="s">
        <v>110</v>
      </c>
      <c r="B94" s="31"/>
      <c r="C94" s="32">
        <v>0</v>
      </c>
      <c r="D94" s="26" t="s">
        <v>13</v>
      </c>
      <c r="E94" s="26" t="s">
        <v>83</v>
      </c>
      <c r="F94" s="31" t="s">
        <v>109</v>
      </c>
      <c r="G94" s="31"/>
      <c r="H94" s="26" t="s">
        <v>15</v>
      </c>
      <c r="I94" s="26" t="s">
        <v>139</v>
      </c>
      <c r="J94" s="31"/>
      <c r="K94" s="31"/>
      <c r="L94" s="26"/>
      <c r="M94" s="26"/>
      <c r="N94" s="26"/>
      <c r="O94" s="26"/>
      <c r="P94" s="26"/>
      <c r="Q94" s="26"/>
      <c r="R94" s="26"/>
      <c r="S94" s="26"/>
      <c r="T94" s="26"/>
      <c r="U94" s="26"/>
      <c r="V94" s="26"/>
      <c r="W94" s="26"/>
      <c r="X94" s="26"/>
      <c r="Y94" s="26"/>
      <c r="Z94" s="26"/>
      <c r="AA94" s="26"/>
      <c r="AB94" s="26"/>
      <c r="AC94" s="26"/>
      <c r="AD94" s="26"/>
      <c r="AE94" s="26"/>
      <c r="AF94" s="26"/>
      <c r="AG94" s="26"/>
      <c r="AH94" s="26"/>
    </row>
    <row r="95" spans="1:34">
      <c r="A95" s="31" t="s">
        <v>140</v>
      </c>
      <c r="B95" s="31"/>
      <c r="C95" s="32">
        <v>0</v>
      </c>
      <c r="D95" s="26" t="s">
        <v>13</v>
      </c>
      <c r="E95" s="26" t="s">
        <v>83</v>
      </c>
      <c r="F95" s="31" t="s">
        <v>109</v>
      </c>
      <c r="G95" s="31"/>
      <c r="H95" s="26" t="s">
        <v>15</v>
      </c>
      <c r="I95" s="26" t="s">
        <v>141</v>
      </c>
      <c r="J95" s="31"/>
      <c r="K95" s="31"/>
      <c r="L95" s="26"/>
      <c r="M95" s="26"/>
      <c r="N95" s="26"/>
      <c r="O95" s="26"/>
      <c r="P95" s="26"/>
      <c r="Q95" s="26"/>
      <c r="R95" s="26"/>
      <c r="S95" s="26"/>
      <c r="T95" s="26"/>
      <c r="U95" s="26"/>
      <c r="V95" s="26"/>
      <c r="W95" s="26"/>
      <c r="X95" s="26"/>
      <c r="Y95" s="26"/>
      <c r="Z95" s="26"/>
      <c r="AA95" s="26"/>
      <c r="AB95" s="26"/>
      <c r="AC95" s="26"/>
      <c r="AD95" s="26"/>
      <c r="AE95" s="26"/>
      <c r="AF95" s="26"/>
      <c r="AG95" s="26"/>
      <c r="AH95" s="26"/>
    </row>
    <row r="96" spans="1:34">
      <c r="A96" s="31" t="s">
        <v>85</v>
      </c>
      <c r="B96" s="31"/>
      <c r="C96" s="32">
        <v>0</v>
      </c>
      <c r="D96" s="26" t="s">
        <v>13</v>
      </c>
      <c r="E96" s="26" t="s">
        <v>83</v>
      </c>
      <c r="F96" s="31" t="s">
        <v>109</v>
      </c>
      <c r="G96" s="31"/>
      <c r="H96" s="26" t="s">
        <v>15</v>
      </c>
      <c r="I96" s="26" t="s">
        <v>141</v>
      </c>
      <c r="J96" s="31"/>
      <c r="K96" s="31"/>
      <c r="L96" s="26"/>
      <c r="M96" s="26"/>
      <c r="N96" s="26"/>
      <c r="O96" s="26"/>
      <c r="P96" s="26"/>
      <c r="Q96" s="26"/>
      <c r="R96" s="26"/>
      <c r="S96" s="26"/>
      <c r="T96" s="26"/>
      <c r="U96" s="26"/>
      <c r="V96" s="26"/>
      <c r="W96" s="26"/>
      <c r="X96" s="26"/>
      <c r="Y96" s="26"/>
      <c r="Z96" s="26"/>
      <c r="AA96" s="26"/>
      <c r="AB96" s="26"/>
      <c r="AC96" s="26"/>
      <c r="AD96" s="26"/>
      <c r="AE96" s="26"/>
      <c r="AF96" s="26"/>
      <c r="AG96" s="26"/>
      <c r="AH96" s="26"/>
    </row>
    <row r="97" spans="1:34">
      <c r="A97" s="31" t="s">
        <v>87</v>
      </c>
      <c r="B97" s="31"/>
      <c r="C97" s="32">
        <v>0</v>
      </c>
      <c r="D97" s="26" t="s">
        <v>13</v>
      </c>
      <c r="E97" s="26" t="s">
        <v>83</v>
      </c>
      <c r="F97" s="31" t="s">
        <v>109</v>
      </c>
      <c r="G97" s="31"/>
      <c r="H97" s="26" t="s">
        <v>15</v>
      </c>
      <c r="I97" s="26" t="s">
        <v>141</v>
      </c>
      <c r="J97" s="31"/>
      <c r="K97" s="31"/>
      <c r="L97" s="26"/>
      <c r="M97" s="26"/>
      <c r="N97" s="26"/>
      <c r="O97" s="26"/>
      <c r="P97" s="26"/>
      <c r="Q97" s="26"/>
      <c r="R97" s="26"/>
      <c r="S97" s="26"/>
      <c r="T97" s="26"/>
      <c r="U97" s="26"/>
      <c r="V97" s="26"/>
      <c r="W97" s="26"/>
      <c r="X97" s="26"/>
      <c r="Y97" s="26"/>
      <c r="Z97" s="26"/>
      <c r="AA97" s="26"/>
      <c r="AB97" s="26"/>
      <c r="AC97" s="26"/>
      <c r="AD97" s="26"/>
      <c r="AE97" s="26"/>
      <c r="AF97" s="26"/>
      <c r="AG97" s="26"/>
      <c r="AH97" s="26"/>
    </row>
    <row r="98" spans="1:34">
      <c r="A98" s="31" t="s">
        <v>89</v>
      </c>
      <c r="B98" s="31"/>
      <c r="C98" s="32">
        <v>0</v>
      </c>
      <c r="D98" s="26" t="s">
        <v>13</v>
      </c>
      <c r="E98" s="26" t="s">
        <v>83</v>
      </c>
      <c r="F98" s="31" t="s">
        <v>109</v>
      </c>
      <c r="G98" s="31"/>
      <c r="H98" s="26" t="s">
        <v>15</v>
      </c>
      <c r="I98" s="26" t="s">
        <v>141</v>
      </c>
      <c r="J98" s="31"/>
      <c r="K98" s="31"/>
      <c r="L98" s="26"/>
      <c r="M98" s="26"/>
      <c r="N98" s="26"/>
      <c r="O98" s="26"/>
      <c r="P98" s="26"/>
      <c r="Q98" s="26"/>
      <c r="R98" s="26"/>
      <c r="S98" s="26"/>
      <c r="T98" s="26"/>
      <c r="U98" s="26"/>
      <c r="V98" s="26"/>
      <c r="W98" s="26"/>
      <c r="X98" s="26"/>
      <c r="Y98" s="26"/>
      <c r="Z98" s="26"/>
      <c r="AA98" s="26"/>
      <c r="AB98" s="26"/>
      <c r="AC98" s="26"/>
      <c r="AD98" s="26"/>
      <c r="AE98" s="26"/>
      <c r="AF98" s="26"/>
      <c r="AG98" s="26"/>
      <c r="AH98" s="26"/>
    </row>
    <row r="99" spans="1:34">
      <c r="A99" s="31" t="s">
        <v>142</v>
      </c>
      <c r="B99" s="31"/>
      <c r="C99" s="32">
        <v>0</v>
      </c>
      <c r="D99" s="26" t="s">
        <v>13</v>
      </c>
      <c r="E99" s="26" t="s">
        <v>83</v>
      </c>
      <c r="F99" s="31" t="s">
        <v>109</v>
      </c>
      <c r="G99" s="31"/>
      <c r="H99" s="26" t="s">
        <v>15</v>
      </c>
      <c r="I99" s="26" t="s">
        <v>141</v>
      </c>
      <c r="J99" s="31"/>
      <c r="K99" s="31"/>
      <c r="L99" s="26"/>
      <c r="M99" s="26"/>
      <c r="N99" s="26"/>
      <c r="O99" s="26"/>
      <c r="P99" s="26"/>
      <c r="Q99" s="26"/>
      <c r="R99" s="26"/>
      <c r="S99" s="26"/>
      <c r="T99" s="26"/>
      <c r="U99" s="26"/>
      <c r="V99" s="26"/>
      <c r="W99" s="26"/>
      <c r="X99" s="26"/>
      <c r="Y99" s="26"/>
      <c r="Z99" s="26"/>
      <c r="AA99" s="26"/>
      <c r="AB99" s="26"/>
      <c r="AC99" s="26"/>
      <c r="AD99" s="26"/>
      <c r="AE99" s="26"/>
      <c r="AF99" s="26"/>
      <c r="AG99" s="26"/>
      <c r="AH99" s="26"/>
    </row>
    <row r="100" spans="1:34">
      <c r="A100" s="31" t="s">
        <v>143</v>
      </c>
      <c r="B100" s="31"/>
      <c r="C100" s="32">
        <v>0</v>
      </c>
      <c r="D100" s="26" t="s">
        <v>13</v>
      </c>
      <c r="E100" s="26" t="s">
        <v>83</v>
      </c>
      <c r="F100" s="31" t="s">
        <v>109</v>
      </c>
      <c r="G100" s="31"/>
      <c r="H100" s="26" t="s">
        <v>15</v>
      </c>
      <c r="I100" s="26" t="s">
        <v>141</v>
      </c>
      <c r="J100" s="31"/>
      <c r="K100" s="31"/>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row>
    <row r="101" spans="1:34" s="49" customFormat="1">
      <c r="A101" s="47"/>
      <c r="B101" s="47"/>
      <c r="C101" s="48"/>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row>
    <row r="102" spans="1:34">
      <c r="A102" s="24" t="s">
        <v>1</v>
      </c>
      <c r="B102" s="24" t="s">
        <v>125</v>
      </c>
      <c r="C102" s="25"/>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row>
    <row r="103" spans="1:34">
      <c r="A103" s="24" t="s">
        <v>11</v>
      </c>
      <c r="B103" s="26" t="s">
        <v>308</v>
      </c>
      <c r="C103" s="25"/>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row>
    <row r="104" spans="1:34">
      <c r="A104" s="24" t="s">
        <v>2</v>
      </c>
      <c r="B104" s="26" t="s">
        <v>28</v>
      </c>
      <c r="C104" s="25"/>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row>
    <row r="105" spans="1:34">
      <c r="A105" s="27" t="s">
        <v>4</v>
      </c>
      <c r="B105" s="26" t="s">
        <v>121</v>
      </c>
      <c r="C105" s="25"/>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row>
    <row r="106" spans="1:34">
      <c r="A106" s="24" t="s">
        <v>3</v>
      </c>
      <c r="B106" s="28">
        <v>1</v>
      </c>
      <c r="C106" s="25"/>
      <c r="D106" s="29"/>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row>
    <row r="107" spans="1:34">
      <c r="A107" s="24" t="s">
        <v>6</v>
      </c>
      <c r="B107" s="26" t="s">
        <v>91</v>
      </c>
      <c r="C107" s="25"/>
      <c r="D107" s="29"/>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row>
    <row r="108" spans="1:34">
      <c r="A108" s="24" t="s">
        <v>57</v>
      </c>
      <c r="B108" s="26"/>
      <c r="C108" s="25"/>
      <c r="D108" s="29"/>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row>
    <row r="109" spans="1:34">
      <c r="A109" s="24" t="s">
        <v>7</v>
      </c>
      <c r="B109" s="26"/>
      <c r="C109" s="25"/>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row>
    <row r="110" spans="1:34">
      <c r="A110" s="24" t="s">
        <v>8</v>
      </c>
      <c r="B110" s="24" t="s">
        <v>4</v>
      </c>
      <c r="C110" s="30" t="s">
        <v>9</v>
      </c>
      <c r="D110" s="24" t="s">
        <v>6</v>
      </c>
      <c r="E110" s="24" t="s">
        <v>81</v>
      </c>
      <c r="F110" s="24" t="s">
        <v>10</v>
      </c>
      <c r="G110" s="24" t="s">
        <v>2</v>
      </c>
      <c r="H110" s="24" t="s">
        <v>5</v>
      </c>
      <c r="I110" s="24" t="s">
        <v>11</v>
      </c>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row>
    <row r="111" spans="1:34">
      <c r="A111" s="31" t="s">
        <v>125</v>
      </c>
      <c r="B111" s="31" t="s">
        <v>121</v>
      </c>
      <c r="C111" s="32">
        <v>1</v>
      </c>
      <c r="D111" s="26" t="s">
        <v>91</v>
      </c>
      <c r="E111" s="31" t="s">
        <v>122</v>
      </c>
      <c r="F111" s="31"/>
      <c r="G111" s="31" t="s">
        <v>28</v>
      </c>
      <c r="H111" s="31" t="s">
        <v>18</v>
      </c>
      <c r="I111" s="31"/>
      <c r="J111" s="31"/>
      <c r="K111" s="31"/>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row>
    <row r="112" spans="1:34">
      <c r="A112" s="31" t="s">
        <v>27</v>
      </c>
      <c r="B112" s="31" t="s">
        <v>20</v>
      </c>
      <c r="C112" s="25">
        <v>0</v>
      </c>
      <c r="D112" s="26" t="s">
        <v>19</v>
      </c>
      <c r="E112" s="31" t="s">
        <v>131</v>
      </c>
      <c r="F112" s="31"/>
      <c r="G112" s="31" t="s">
        <v>28</v>
      </c>
      <c r="H112" s="31" t="s">
        <v>12</v>
      </c>
      <c r="I112" s="31"/>
      <c r="J112" s="31"/>
      <c r="K112" s="31"/>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row>
    <row r="113" spans="1:34">
      <c r="A113" s="26" t="s">
        <v>132</v>
      </c>
      <c r="B113" s="31" t="s">
        <v>133</v>
      </c>
      <c r="C113" s="25">
        <v>0</v>
      </c>
      <c r="D113" s="26" t="s">
        <v>6</v>
      </c>
      <c r="E113" s="31" t="s">
        <v>131</v>
      </c>
      <c r="F113" s="31"/>
      <c r="G113" s="31" t="s">
        <v>134</v>
      </c>
      <c r="H113" s="31" t="s">
        <v>12</v>
      </c>
      <c r="I113" s="39"/>
      <c r="J113" s="31"/>
      <c r="K113" s="31"/>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row>
    <row r="114" spans="1:34">
      <c r="A114" s="31" t="s">
        <v>135</v>
      </c>
      <c r="B114" s="31" t="s">
        <v>136</v>
      </c>
      <c r="C114" s="25">
        <v>0</v>
      </c>
      <c r="D114" s="26" t="s">
        <v>6</v>
      </c>
      <c r="E114" s="31" t="s">
        <v>131</v>
      </c>
      <c r="F114" s="31"/>
      <c r="G114" s="31" t="s">
        <v>96</v>
      </c>
      <c r="H114" s="31" t="s">
        <v>12</v>
      </c>
      <c r="I114" s="26"/>
      <c r="J114" s="31"/>
      <c r="K114" s="31"/>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row>
    <row r="115" spans="1:34">
      <c r="A115" s="25" t="s">
        <v>123</v>
      </c>
      <c r="B115" s="26"/>
      <c r="C115" s="32">
        <v>2.2482890141514411</v>
      </c>
      <c r="D115" s="26" t="s">
        <v>13</v>
      </c>
      <c r="E115" s="26" t="s">
        <v>83</v>
      </c>
      <c r="F115" s="26" t="s">
        <v>124</v>
      </c>
      <c r="G115" s="26"/>
      <c r="H115" s="26" t="s">
        <v>15</v>
      </c>
      <c r="I115" s="26" t="s">
        <v>137</v>
      </c>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row>
    <row r="116" spans="1:34">
      <c r="A116" s="31" t="s">
        <v>138</v>
      </c>
      <c r="B116" s="31"/>
      <c r="C116" s="25">
        <v>0</v>
      </c>
      <c r="D116" s="26" t="s">
        <v>13</v>
      </c>
      <c r="E116" s="26" t="s">
        <v>83</v>
      </c>
      <c r="F116" s="31" t="s">
        <v>109</v>
      </c>
      <c r="G116" s="31"/>
      <c r="H116" s="26" t="s">
        <v>15</v>
      </c>
      <c r="I116" s="26" t="s">
        <v>139</v>
      </c>
      <c r="J116" s="31"/>
      <c r="K116" s="31"/>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row>
    <row r="117" spans="1:34">
      <c r="A117" s="31" t="s">
        <v>110</v>
      </c>
      <c r="B117" s="31"/>
      <c r="C117" s="25">
        <v>0</v>
      </c>
      <c r="D117" s="26" t="s">
        <v>13</v>
      </c>
      <c r="E117" s="26" t="s">
        <v>83</v>
      </c>
      <c r="F117" s="31" t="s">
        <v>109</v>
      </c>
      <c r="G117" s="31"/>
      <c r="H117" s="26" t="s">
        <v>15</v>
      </c>
      <c r="I117" s="26" t="s">
        <v>139</v>
      </c>
      <c r="J117" s="31"/>
      <c r="K117" s="31"/>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row>
    <row r="118" spans="1:34">
      <c r="A118" s="31" t="s">
        <v>140</v>
      </c>
      <c r="B118" s="31"/>
      <c r="C118" s="25">
        <v>0</v>
      </c>
      <c r="D118" s="26" t="s">
        <v>13</v>
      </c>
      <c r="E118" s="26" t="s">
        <v>83</v>
      </c>
      <c r="F118" s="31" t="s">
        <v>109</v>
      </c>
      <c r="G118" s="31"/>
      <c r="H118" s="26" t="s">
        <v>15</v>
      </c>
      <c r="I118" s="26" t="s">
        <v>141</v>
      </c>
      <c r="J118" s="31"/>
      <c r="K118" s="31"/>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row>
    <row r="119" spans="1:34">
      <c r="A119" s="31" t="s">
        <v>85</v>
      </c>
      <c r="B119" s="31"/>
      <c r="C119" s="25">
        <v>0</v>
      </c>
      <c r="D119" s="26" t="s">
        <v>13</v>
      </c>
      <c r="E119" s="26" t="s">
        <v>83</v>
      </c>
      <c r="F119" s="31" t="s">
        <v>109</v>
      </c>
      <c r="G119" s="31"/>
      <c r="H119" s="26" t="s">
        <v>15</v>
      </c>
      <c r="I119" s="26" t="s">
        <v>141</v>
      </c>
      <c r="J119" s="31"/>
      <c r="K119" s="31"/>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row>
    <row r="120" spans="1:34">
      <c r="A120" s="31" t="s">
        <v>87</v>
      </c>
      <c r="B120" s="31"/>
      <c r="C120" s="25">
        <v>0</v>
      </c>
      <c r="D120" s="26" t="s">
        <v>13</v>
      </c>
      <c r="E120" s="26" t="s">
        <v>83</v>
      </c>
      <c r="F120" s="31" t="s">
        <v>109</v>
      </c>
      <c r="G120" s="31"/>
      <c r="H120" s="26" t="s">
        <v>15</v>
      </c>
      <c r="I120" s="26" t="s">
        <v>141</v>
      </c>
      <c r="J120" s="31"/>
      <c r="K120" s="31"/>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row>
    <row r="121" spans="1:34">
      <c r="A121" s="31" t="s">
        <v>89</v>
      </c>
      <c r="B121" s="31"/>
      <c r="C121" s="25">
        <v>0</v>
      </c>
      <c r="D121" s="26" t="s">
        <v>13</v>
      </c>
      <c r="E121" s="26" t="s">
        <v>83</v>
      </c>
      <c r="F121" s="31" t="s">
        <v>109</v>
      </c>
      <c r="G121" s="31"/>
      <c r="H121" s="26" t="s">
        <v>15</v>
      </c>
      <c r="I121" s="26" t="s">
        <v>141</v>
      </c>
      <c r="J121" s="31"/>
      <c r="K121" s="31"/>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row>
    <row r="122" spans="1:34">
      <c r="A122" s="31" t="s">
        <v>142</v>
      </c>
      <c r="B122" s="31"/>
      <c r="C122" s="25">
        <v>0</v>
      </c>
      <c r="D122" s="26" t="s">
        <v>13</v>
      </c>
      <c r="E122" s="26" t="s">
        <v>83</v>
      </c>
      <c r="F122" s="31" t="s">
        <v>109</v>
      </c>
      <c r="G122" s="31"/>
      <c r="H122" s="26" t="s">
        <v>15</v>
      </c>
      <c r="I122" s="26" t="s">
        <v>141</v>
      </c>
      <c r="J122" s="31"/>
      <c r="K122" s="31"/>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row>
    <row r="123" spans="1:34">
      <c r="A123" s="31" t="s">
        <v>143</v>
      </c>
      <c r="B123" s="31"/>
      <c r="C123" s="25">
        <v>0</v>
      </c>
      <c r="D123" s="26" t="s">
        <v>13</v>
      </c>
      <c r="E123" s="26" t="s">
        <v>83</v>
      </c>
      <c r="F123" s="31" t="s">
        <v>109</v>
      </c>
      <c r="G123" s="31"/>
      <c r="H123" s="26" t="s">
        <v>15</v>
      </c>
      <c r="I123" s="26" t="s">
        <v>141</v>
      </c>
      <c r="J123" s="31"/>
      <c r="K123" s="31"/>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row>
    <row r="124" spans="1:34" s="49" customFormat="1">
      <c r="A124" s="47"/>
      <c r="B124" s="47"/>
      <c r="C124" s="48"/>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row>
    <row r="125" spans="1:34">
      <c r="A125" s="24" t="s">
        <v>1</v>
      </c>
      <c r="B125" s="24" t="s">
        <v>126</v>
      </c>
      <c r="C125" s="25"/>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row>
    <row r="126" spans="1:34">
      <c r="A126" s="24" t="s">
        <v>11</v>
      </c>
      <c r="B126" s="26" t="s">
        <v>309</v>
      </c>
      <c r="C126" s="25"/>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row>
    <row r="127" spans="1:34">
      <c r="A127" s="24" t="s">
        <v>2</v>
      </c>
      <c r="B127" s="26" t="s">
        <v>28</v>
      </c>
      <c r="C127" s="25"/>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row>
    <row r="128" spans="1:34">
      <c r="A128" s="27" t="s">
        <v>4</v>
      </c>
      <c r="B128" s="26" t="s">
        <v>121</v>
      </c>
      <c r="C128" s="25"/>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row>
    <row r="129" spans="1:34">
      <c r="A129" s="24" t="s">
        <v>3</v>
      </c>
      <c r="B129" s="28">
        <v>1</v>
      </c>
      <c r="C129" s="25"/>
      <c r="D129" s="29"/>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row>
    <row r="130" spans="1:34">
      <c r="A130" s="24" t="s">
        <v>6</v>
      </c>
      <c r="B130" s="26" t="s">
        <v>91</v>
      </c>
      <c r="C130" s="25"/>
      <c r="D130" s="29"/>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row>
    <row r="131" spans="1:34">
      <c r="A131" s="24" t="s">
        <v>57</v>
      </c>
      <c r="B131" s="26"/>
      <c r="C131" s="25"/>
      <c r="D131" s="29"/>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row>
    <row r="132" spans="1:34">
      <c r="A132" s="24" t="s">
        <v>7</v>
      </c>
      <c r="B132" s="26"/>
      <c r="C132" s="25"/>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row>
    <row r="133" spans="1:34">
      <c r="A133" s="24" t="s">
        <v>8</v>
      </c>
      <c r="B133" s="24" t="s">
        <v>4</v>
      </c>
      <c r="C133" s="30" t="s">
        <v>9</v>
      </c>
      <c r="D133" s="24" t="s">
        <v>6</v>
      </c>
      <c r="E133" s="24" t="s">
        <v>81</v>
      </c>
      <c r="F133" s="24" t="s">
        <v>10</v>
      </c>
      <c r="G133" s="24" t="s">
        <v>2</v>
      </c>
      <c r="H133" s="24" t="s">
        <v>5</v>
      </c>
      <c r="I133" s="24" t="s">
        <v>11</v>
      </c>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row>
    <row r="134" spans="1:34">
      <c r="A134" s="31" t="s">
        <v>126</v>
      </c>
      <c r="B134" s="31" t="s">
        <v>121</v>
      </c>
      <c r="C134" s="32">
        <v>1</v>
      </c>
      <c r="D134" s="26" t="s">
        <v>91</v>
      </c>
      <c r="E134" s="31" t="s">
        <v>122</v>
      </c>
      <c r="F134" s="31"/>
      <c r="G134" s="31" t="s">
        <v>28</v>
      </c>
      <c r="H134" s="31" t="s">
        <v>18</v>
      </c>
      <c r="I134" s="31"/>
      <c r="J134" s="31"/>
      <c r="K134" s="31"/>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row>
    <row r="135" spans="1:34">
      <c r="A135" s="31" t="s">
        <v>27</v>
      </c>
      <c r="B135" s="31" t="s">
        <v>20</v>
      </c>
      <c r="C135" s="25">
        <v>0</v>
      </c>
      <c r="D135" s="26" t="s">
        <v>19</v>
      </c>
      <c r="E135" s="31" t="s">
        <v>131</v>
      </c>
      <c r="F135" s="31"/>
      <c r="G135" s="31" t="s">
        <v>28</v>
      </c>
      <c r="H135" s="31" t="s">
        <v>12</v>
      </c>
      <c r="I135" s="31"/>
      <c r="J135" s="31"/>
      <c r="K135" s="31"/>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row>
    <row r="136" spans="1:34">
      <c r="A136" s="26" t="s">
        <v>132</v>
      </c>
      <c r="B136" s="31" t="s">
        <v>133</v>
      </c>
      <c r="C136" s="25">
        <v>0</v>
      </c>
      <c r="D136" s="26" t="s">
        <v>6</v>
      </c>
      <c r="E136" s="31" t="s">
        <v>131</v>
      </c>
      <c r="F136" s="31"/>
      <c r="G136" s="31" t="s">
        <v>134</v>
      </c>
      <c r="H136" s="31" t="s">
        <v>12</v>
      </c>
      <c r="I136" s="39"/>
      <c r="J136" s="31"/>
      <c r="K136" s="31"/>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row>
    <row r="137" spans="1:34">
      <c r="A137" s="31" t="s">
        <v>135</v>
      </c>
      <c r="B137" s="31" t="s">
        <v>136</v>
      </c>
      <c r="C137" s="25">
        <v>0</v>
      </c>
      <c r="D137" s="26" t="s">
        <v>6</v>
      </c>
      <c r="E137" s="31" t="s">
        <v>131</v>
      </c>
      <c r="F137" s="31"/>
      <c r="G137" s="31" t="s">
        <v>96</v>
      </c>
      <c r="H137" s="31" t="s">
        <v>12</v>
      </c>
      <c r="I137" s="26"/>
      <c r="J137" s="31"/>
      <c r="K137" s="31"/>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row>
    <row r="138" spans="1:34">
      <c r="A138" s="25" t="s">
        <v>123</v>
      </c>
      <c r="B138" s="26"/>
      <c r="C138" s="32">
        <v>2.2348029877051991</v>
      </c>
      <c r="D138" s="26" t="s">
        <v>13</v>
      </c>
      <c r="E138" s="26" t="s">
        <v>83</v>
      </c>
      <c r="F138" s="26" t="s">
        <v>124</v>
      </c>
      <c r="G138" s="26"/>
      <c r="H138" s="26" t="s">
        <v>15</v>
      </c>
      <c r="I138" s="26" t="s">
        <v>137</v>
      </c>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row>
    <row r="139" spans="1:34">
      <c r="A139" s="31" t="s">
        <v>138</v>
      </c>
      <c r="B139" s="31"/>
      <c r="C139" s="25">
        <v>0</v>
      </c>
      <c r="D139" s="26" t="s">
        <v>13</v>
      </c>
      <c r="E139" s="26" t="s">
        <v>83</v>
      </c>
      <c r="F139" s="31" t="s">
        <v>109</v>
      </c>
      <c r="G139" s="31"/>
      <c r="H139" s="26" t="s">
        <v>15</v>
      </c>
      <c r="I139" s="26" t="s">
        <v>139</v>
      </c>
      <c r="J139" s="31"/>
      <c r="K139" s="31"/>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row>
    <row r="140" spans="1:34">
      <c r="A140" s="31" t="s">
        <v>110</v>
      </c>
      <c r="B140" s="31"/>
      <c r="C140" s="25">
        <v>0</v>
      </c>
      <c r="D140" s="26" t="s">
        <v>13</v>
      </c>
      <c r="E140" s="26" t="s">
        <v>83</v>
      </c>
      <c r="F140" s="31" t="s">
        <v>109</v>
      </c>
      <c r="G140" s="31"/>
      <c r="H140" s="26" t="s">
        <v>15</v>
      </c>
      <c r="I140" s="26" t="s">
        <v>139</v>
      </c>
      <c r="J140" s="31"/>
      <c r="K140" s="31"/>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row>
    <row r="141" spans="1:34">
      <c r="A141" s="31" t="s">
        <v>140</v>
      </c>
      <c r="B141" s="31"/>
      <c r="C141" s="25">
        <v>0</v>
      </c>
      <c r="D141" s="26" t="s">
        <v>13</v>
      </c>
      <c r="E141" s="26" t="s">
        <v>83</v>
      </c>
      <c r="F141" s="31" t="s">
        <v>109</v>
      </c>
      <c r="G141" s="31"/>
      <c r="H141" s="26" t="s">
        <v>15</v>
      </c>
      <c r="I141" s="26" t="s">
        <v>141</v>
      </c>
      <c r="J141" s="31"/>
      <c r="K141" s="31"/>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row>
    <row r="142" spans="1:34">
      <c r="A142" s="31" t="s">
        <v>85</v>
      </c>
      <c r="B142" s="31"/>
      <c r="C142" s="25">
        <v>0</v>
      </c>
      <c r="D142" s="26" t="s">
        <v>13</v>
      </c>
      <c r="E142" s="26" t="s">
        <v>83</v>
      </c>
      <c r="F142" s="31" t="s">
        <v>109</v>
      </c>
      <c r="G142" s="31"/>
      <c r="H142" s="26" t="s">
        <v>15</v>
      </c>
      <c r="I142" s="26" t="s">
        <v>141</v>
      </c>
      <c r="J142" s="31"/>
      <c r="K142" s="31"/>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row>
    <row r="143" spans="1:34">
      <c r="A143" s="31" t="s">
        <v>87</v>
      </c>
      <c r="B143" s="31"/>
      <c r="C143" s="25">
        <v>0</v>
      </c>
      <c r="D143" s="26" t="s">
        <v>13</v>
      </c>
      <c r="E143" s="26" t="s">
        <v>83</v>
      </c>
      <c r="F143" s="31" t="s">
        <v>109</v>
      </c>
      <c r="G143" s="31"/>
      <c r="H143" s="26" t="s">
        <v>15</v>
      </c>
      <c r="I143" s="26" t="s">
        <v>141</v>
      </c>
      <c r="J143" s="31"/>
      <c r="K143" s="31"/>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row>
    <row r="144" spans="1:34">
      <c r="A144" s="31" t="s">
        <v>89</v>
      </c>
      <c r="B144" s="31"/>
      <c r="C144" s="25">
        <v>0</v>
      </c>
      <c r="D144" s="26" t="s">
        <v>13</v>
      </c>
      <c r="E144" s="26" t="s">
        <v>83</v>
      </c>
      <c r="F144" s="31" t="s">
        <v>109</v>
      </c>
      <c r="G144" s="31"/>
      <c r="H144" s="26" t="s">
        <v>15</v>
      </c>
      <c r="I144" s="26" t="s">
        <v>141</v>
      </c>
      <c r="J144" s="31"/>
      <c r="K144" s="31"/>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row>
    <row r="145" spans="1:34">
      <c r="A145" s="31" t="s">
        <v>142</v>
      </c>
      <c r="B145" s="31"/>
      <c r="C145" s="25">
        <v>0</v>
      </c>
      <c r="D145" s="26" t="s">
        <v>13</v>
      </c>
      <c r="E145" s="26" t="s">
        <v>83</v>
      </c>
      <c r="F145" s="31" t="s">
        <v>109</v>
      </c>
      <c r="G145" s="31"/>
      <c r="H145" s="26" t="s">
        <v>15</v>
      </c>
      <c r="I145" s="26" t="s">
        <v>141</v>
      </c>
      <c r="J145" s="31"/>
      <c r="K145" s="31"/>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row>
    <row r="146" spans="1:34">
      <c r="A146" s="31" t="s">
        <v>143</v>
      </c>
      <c r="B146" s="31"/>
      <c r="C146" s="25">
        <v>0</v>
      </c>
      <c r="D146" s="26" t="s">
        <v>13</v>
      </c>
      <c r="E146" s="26" t="s">
        <v>83</v>
      </c>
      <c r="F146" s="31" t="s">
        <v>109</v>
      </c>
      <c r="G146" s="31"/>
      <c r="H146" s="26" t="s">
        <v>15</v>
      </c>
      <c r="I146" s="26" t="s">
        <v>141</v>
      </c>
      <c r="J146" s="31"/>
      <c r="K146" s="31"/>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row>
    <row r="147" spans="1:34" s="49" customForma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row>
    <row r="148" spans="1:34">
      <c r="A148" s="24" t="s">
        <v>1</v>
      </c>
      <c r="B148" s="24" t="s">
        <v>127</v>
      </c>
      <c r="C148" s="25"/>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row>
    <row r="149" spans="1:34">
      <c r="A149" s="24" t="s">
        <v>11</v>
      </c>
      <c r="B149" s="26" t="s">
        <v>310</v>
      </c>
      <c r="C149" s="25"/>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row>
    <row r="150" spans="1:34">
      <c r="A150" s="24" t="s">
        <v>2</v>
      </c>
      <c r="B150" s="26" t="s">
        <v>28</v>
      </c>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row>
    <row r="151" spans="1:34">
      <c r="A151" s="27" t="s">
        <v>4</v>
      </c>
      <c r="B151" s="26" t="s">
        <v>121</v>
      </c>
      <c r="C151" s="25"/>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row>
    <row r="152" spans="1:34">
      <c r="A152" s="24" t="s">
        <v>3</v>
      </c>
      <c r="B152" s="28">
        <v>1</v>
      </c>
      <c r="C152" s="28"/>
      <c r="D152" s="29"/>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row>
    <row r="153" spans="1:34">
      <c r="A153" s="24" t="s">
        <v>6</v>
      </c>
      <c r="B153" s="26" t="s">
        <v>91</v>
      </c>
      <c r="C153" s="25"/>
      <c r="D153" s="29"/>
      <c r="E153" s="26"/>
      <c r="F153" s="26"/>
      <c r="G153" s="26"/>
      <c r="H153" s="26"/>
      <c r="I153" s="26"/>
      <c r="J153" s="26"/>
      <c r="K153" s="33"/>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row>
    <row r="154" spans="1:34">
      <c r="A154" s="24" t="s">
        <v>57</v>
      </c>
      <c r="B154" s="26"/>
      <c r="C154" s="25"/>
      <c r="D154" s="29"/>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row>
    <row r="155" spans="1:34">
      <c r="A155" s="24" t="s">
        <v>7</v>
      </c>
      <c r="B155" s="26"/>
      <c r="C155" s="25"/>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row>
    <row r="156" spans="1:34">
      <c r="A156" s="24" t="s">
        <v>8</v>
      </c>
      <c r="B156" s="24" t="s">
        <v>4</v>
      </c>
      <c r="C156" s="30" t="s">
        <v>9</v>
      </c>
      <c r="D156" s="24" t="s">
        <v>6</v>
      </c>
      <c r="E156" s="24" t="s">
        <v>81</v>
      </c>
      <c r="F156" s="24" t="s">
        <v>10</v>
      </c>
      <c r="G156" s="24" t="s">
        <v>2</v>
      </c>
      <c r="H156" s="24" t="s">
        <v>5</v>
      </c>
      <c r="I156" s="24" t="s">
        <v>11</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row>
    <row r="157" spans="1:34">
      <c r="A157" s="31" t="s">
        <v>127</v>
      </c>
      <c r="B157" s="31" t="s">
        <v>121</v>
      </c>
      <c r="C157" s="25">
        <v>1</v>
      </c>
      <c r="D157" s="26" t="s">
        <v>91</v>
      </c>
      <c r="E157" s="31" t="s">
        <v>122</v>
      </c>
      <c r="F157" s="31"/>
      <c r="G157" s="31" t="s">
        <v>28</v>
      </c>
      <c r="H157" s="31" t="s">
        <v>18</v>
      </c>
      <c r="I157" s="31"/>
      <c r="J157" s="31"/>
      <c r="K157" s="31"/>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row>
    <row r="158" spans="1:34">
      <c r="A158" s="31" t="s">
        <v>128</v>
      </c>
      <c r="B158" s="31" t="s">
        <v>129</v>
      </c>
      <c r="C158" s="25">
        <v>15.692759428778107</v>
      </c>
      <c r="D158" s="26" t="s">
        <v>13</v>
      </c>
      <c r="E158" s="31" t="s">
        <v>122</v>
      </c>
      <c r="F158" s="31"/>
      <c r="G158" s="31" t="s">
        <v>28</v>
      </c>
      <c r="H158" s="31" t="s">
        <v>12</v>
      </c>
      <c r="I158" s="31" t="s">
        <v>130</v>
      </c>
      <c r="J158" s="31"/>
      <c r="K158" s="31"/>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row>
    <row r="159" spans="1:34">
      <c r="A159" s="31" t="s">
        <v>27</v>
      </c>
      <c r="B159" s="31" t="s">
        <v>20</v>
      </c>
      <c r="C159" s="25">
        <v>0.13686158590383854</v>
      </c>
      <c r="D159" s="26" t="s">
        <v>19</v>
      </c>
      <c r="E159" s="31" t="s">
        <v>131</v>
      </c>
      <c r="F159" s="31"/>
      <c r="G159" s="31" t="s">
        <v>28</v>
      </c>
      <c r="H159" s="31" t="s">
        <v>12</v>
      </c>
      <c r="I159" s="31"/>
      <c r="J159" s="31"/>
      <c r="K159" s="31"/>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row>
    <row r="160" spans="1:34">
      <c r="A160" s="26" t="s">
        <v>132</v>
      </c>
      <c r="B160" s="31" t="s">
        <v>133</v>
      </c>
      <c r="C160" s="25">
        <v>3.2478194058327522E-7</v>
      </c>
      <c r="D160" s="26" t="s">
        <v>6</v>
      </c>
      <c r="E160" s="31" t="s">
        <v>131</v>
      </c>
      <c r="F160" s="31"/>
      <c r="G160" s="31" t="s">
        <v>134</v>
      </c>
      <c r="H160" s="31" t="s">
        <v>12</v>
      </c>
      <c r="I160" s="39"/>
      <c r="J160" s="31"/>
      <c r="K160" s="31"/>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row>
    <row r="161" spans="1:34">
      <c r="A161" s="31" t="s">
        <v>135</v>
      </c>
      <c r="B161" s="31" t="s">
        <v>136</v>
      </c>
      <c r="C161" s="25">
        <v>1.1858025387172218E-6</v>
      </c>
      <c r="D161" s="26" t="s">
        <v>6</v>
      </c>
      <c r="E161" s="31" t="s">
        <v>131</v>
      </c>
      <c r="F161" s="31"/>
      <c r="G161" s="31" t="s">
        <v>96</v>
      </c>
      <c r="H161" s="31" t="s">
        <v>12</v>
      </c>
      <c r="I161" s="26"/>
      <c r="J161" s="31"/>
      <c r="K161" s="3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row>
    <row r="162" spans="1:34">
      <c r="A162" s="25" t="s">
        <v>123</v>
      </c>
      <c r="B162" s="26"/>
      <c r="C162" s="25">
        <v>2.2243910590121834</v>
      </c>
      <c r="D162" s="26" t="s">
        <v>13</v>
      </c>
      <c r="E162" s="26" t="s">
        <v>83</v>
      </c>
      <c r="F162" s="26" t="s">
        <v>124</v>
      </c>
      <c r="G162" s="26"/>
      <c r="H162" s="26" t="s">
        <v>15</v>
      </c>
      <c r="I162" s="26" t="s">
        <v>137</v>
      </c>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row>
    <row r="163" spans="1:34">
      <c r="A163" s="31" t="s">
        <v>138</v>
      </c>
      <c r="B163" s="31"/>
      <c r="C163" s="25">
        <v>0.2632929400988413</v>
      </c>
      <c r="D163" s="26" t="s">
        <v>13</v>
      </c>
      <c r="E163" s="26" t="s">
        <v>83</v>
      </c>
      <c r="F163" s="31" t="s">
        <v>109</v>
      </c>
      <c r="G163" s="31"/>
      <c r="H163" s="26" t="s">
        <v>15</v>
      </c>
      <c r="I163" s="26" t="s">
        <v>139</v>
      </c>
      <c r="J163" s="31"/>
      <c r="K163" s="31"/>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row>
    <row r="164" spans="1:34">
      <c r="A164" s="31" t="s">
        <v>110</v>
      </c>
      <c r="B164" s="31"/>
      <c r="C164" s="25">
        <v>1.3939813637531055E-2</v>
      </c>
      <c r="D164" s="26" t="s">
        <v>13</v>
      </c>
      <c r="E164" s="26" t="s">
        <v>83</v>
      </c>
      <c r="F164" s="31" t="s">
        <v>109</v>
      </c>
      <c r="G164" s="31"/>
      <c r="H164" s="26" t="s">
        <v>15</v>
      </c>
      <c r="I164" s="26" t="s">
        <v>139</v>
      </c>
      <c r="J164" s="31"/>
      <c r="K164" s="31"/>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row>
    <row r="165" spans="1:34">
      <c r="A165" s="31" t="s">
        <v>140</v>
      </c>
      <c r="B165" s="31"/>
      <c r="C165" s="25">
        <v>1.2515583871999998E-4</v>
      </c>
      <c r="D165" s="26" t="s">
        <v>13</v>
      </c>
      <c r="E165" s="26" t="s">
        <v>83</v>
      </c>
      <c r="F165" s="31" t="s">
        <v>109</v>
      </c>
      <c r="G165" s="31"/>
      <c r="H165" s="26" t="s">
        <v>15</v>
      </c>
      <c r="I165" s="26" t="s">
        <v>141</v>
      </c>
      <c r="J165" s="31"/>
      <c r="K165" s="31"/>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row>
    <row r="166" spans="1:34">
      <c r="A166" s="31" t="s">
        <v>85</v>
      </c>
      <c r="B166" s="31"/>
      <c r="C166" s="25">
        <v>6.5182656435999982E-6</v>
      </c>
      <c r="D166" s="26" t="s">
        <v>13</v>
      </c>
      <c r="E166" s="26" t="s">
        <v>83</v>
      </c>
      <c r="F166" s="31" t="s">
        <v>109</v>
      </c>
      <c r="G166" s="31"/>
      <c r="H166" s="26" t="s">
        <v>15</v>
      </c>
      <c r="I166" s="26" t="s">
        <v>141</v>
      </c>
      <c r="J166" s="31"/>
      <c r="K166" s="31"/>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row>
    <row r="167" spans="1:34">
      <c r="A167" s="31" t="s">
        <v>87</v>
      </c>
      <c r="B167" s="31"/>
      <c r="C167" s="25">
        <v>3.9108905687999992E-5</v>
      </c>
      <c r="D167" s="26" t="s">
        <v>13</v>
      </c>
      <c r="E167" s="26" t="s">
        <v>83</v>
      </c>
      <c r="F167" s="31" t="s">
        <v>109</v>
      </c>
      <c r="G167" s="31"/>
      <c r="H167" s="26" t="s">
        <v>15</v>
      </c>
      <c r="I167" s="26" t="s">
        <v>141</v>
      </c>
      <c r="J167" s="31"/>
      <c r="K167" s="31"/>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row>
    <row r="168" spans="1:34">
      <c r="A168" s="31" t="s">
        <v>89</v>
      </c>
      <c r="B168" s="31"/>
      <c r="C168" s="25">
        <v>6.5182656435999986E-5</v>
      </c>
      <c r="D168" s="26" t="s">
        <v>13</v>
      </c>
      <c r="E168" s="26" t="s">
        <v>83</v>
      </c>
      <c r="F168" s="31" t="s">
        <v>109</v>
      </c>
      <c r="G168" s="31"/>
      <c r="H168" s="26" t="s">
        <v>15</v>
      </c>
      <c r="I168" s="26" t="s">
        <v>141</v>
      </c>
      <c r="J168" s="31"/>
      <c r="K168" s="31"/>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row>
    <row r="169" spans="1:34">
      <c r="A169" s="31" t="s">
        <v>142</v>
      </c>
      <c r="B169" s="31"/>
      <c r="C169" s="25">
        <v>5.2146354539999984E-6</v>
      </c>
      <c r="D169" s="26" t="s">
        <v>13</v>
      </c>
      <c r="E169" s="26" t="s">
        <v>83</v>
      </c>
      <c r="F169" s="31" t="s">
        <v>109</v>
      </c>
      <c r="G169" s="31"/>
      <c r="H169" s="26" t="s">
        <v>15</v>
      </c>
      <c r="I169" s="26" t="s">
        <v>141</v>
      </c>
      <c r="J169" s="31"/>
      <c r="K169" s="31"/>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row>
    <row r="170" spans="1:34">
      <c r="A170" s="31" t="s">
        <v>143</v>
      </c>
      <c r="B170" s="31"/>
      <c r="C170" s="25">
        <v>1.8251510827999994E-11</v>
      </c>
      <c r="D170" s="26" t="s">
        <v>13</v>
      </c>
      <c r="E170" s="26" t="s">
        <v>83</v>
      </c>
      <c r="F170" s="31" t="s">
        <v>109</v>
      </c>
      <c r="G170" s="31"/>
      <c r="H170" s="26" t="s">
        <v>15</v>
      </c>
      <c r="I170" s="26" t="s">
        <v>141</v>
      </c>
      <c r="J170" s="31"/>
      <c r="K170" s="31"/>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row>
    <row r="171" spans="1:34" s="49" customFormat="1">
      <c r="A171" s="47"/>
      <c r="B171" s="47"/>
      <c r="C171" s="48"/>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row>
    <row r="172" spans="1:34">
      <c r="A172" s="24" t="s">
        <v>1</v>
      </c>
      <c r="B172" s="24" t="s">
        <v>144</v>
      </c>
      <c r="C172" s="25"/>
      <c r="D172" s="26"/>
      <c r="E172" s="26"/>
      <c r="F172" s="26"/>
      <c r="G172" s="26"/>
      <c r="H172" s="26"/>
      <c r="I172" s="26"/>
      <c r="J172" s="26"/>
    </row>
    <row r="173" spans="1:34">
      <c r="A173" s="24" t="s">
        <v>11</v>
      </c>
      <c r="B173" s="26" t="s">
        <v>311</v>
      </c>
      <c r="C173" s="25"/>
      <c r="D173" s="26"/>
      <c r="E173" s="26"/>
      <c r="F173" s="26"/>
      <c r="G173" s="26"/>
      <c r="H173" s="26"/>
      <c r="I173" s="26"/>
      <c r="J173" s="26"/>
    </row>
    <row r="174" spans="1:34">
      <c r="A174" s="24" t="s">
        <v>2</v>
      </c>
      <c r="B174" s="26" t="s">
        <v>28</v>
      </c>
      <c r="C174" s="25"/>
      <c r="D174" s="26"/>
      <c r="E174" s="26"/>
      <c r="F174" s="26"/>
      <c r="G174" s="26"/>
      <c r="H174" s="26"/>
      <c r="I174" s="26"/>
      <c r="J174" s="26"/>
    </row>
    <row r="175" spans="1:34">
      <c r="A175" s="27" t="s">
        <v>4</v>
      </c>
      <c r="B175" s="26" t="s">
        <v>121</v>
      </c>
      <c r="D175" s="26"/>
      <c r="E175" s="26"/>
      <c r="F175" s="26"/>
      <c r="G175" s="26"/>
      <c r="H175" s="26"/>
      <c r="I175" s="26"/>
      <c r="J175" s="26"/>
    </row>
    <row r="176" spans="1:34">
      <c r="A176" s="24" t="s">
        <v>3</v>
      </c>
      <c r="B176" s="28">
        <v>1</v>
      </c>
      <c r="C176" s="25"/>
      <c r="D176" s="26"/>
      <c r="E176" s="26"/>
      <c r="F176" s="26"/>
      <c r="G176" s="26"/>
      <c r="H176" s="26"/>
      <c r="I176" s="26"/>
      <c r="J176" s="26"/>
    </row>
    <row r="177" spans="1:34">
      <c r="A177" s="24" t="s">
        <v>6</v>
      </c>
      <c r="B177" s="26" t="s">
        <v>91</v>
      </c>
      <c r="C177" s="25"/>
      <c r="D177" s="26"/>
      <c r="E177" s="26"/>
      <c r="F177" s="26"/>
      <c r="G177" s="26"/>
      <c r="H177" s="26"/>
      <c r="I177" s="26"/>
      <c r="J177" s="26"/>
    </row>
    <row r="178" spans="1:34">
      <c r="A178" s="24" t="s">
        <v>57</v>
      </c>
      <c r="B178" s="26"/>
      <c r="C178" s="25"/>
      <c r="D178" s="29"/>
      <c r="E178" s="26"/>
      <c r="F178" s="26"/>
      <c r="G178" s="26"/>
      <c r="H178" s="26"/>
      <c r="I178" s="26"/>
      <c r="J178" s="26"/>
    </row>
    <row r="179" spans="1:34">
      <c r="A179" s="24" t="s">
        <v>7</v>
      </c>
      <c r="B179" s="26"/>
      <c r="C179" s="25"/>
      <c r="D179" s="26"/>
      <c r="E179" s="26"/>
      <c r="F179" s="26"/>
      <c r="G179" s="26"/>
      <c r="H179" s="26"/>
      <c r="I179" s="26"/>
      <c r="J179" s="26"/>
    </row>
    <row r="180" spans="1:34">
      <c r="A180" s="24" t="s">
        <v>8</v>
      </c>
      <c r="B180" s="24" t="s">
        <v>4</v>
      </c>
      <c r="C180" s="30" t="s">
        <v>9</v>
      </c>
      <c r="D180" s="24" t="s">
        <v>6</v>
      </c>
      <c r="E180" s="24" t="s">
        <v>81</v>
      </c>
      <c r="F180" s="24" t="s">
        <v>10</v>
      </c>
      <c r="G180" s="24" t="s">
        <v>2</v>
      </c>
      <c r="H180" s="24" t="s">
        <v>5</v>
      </c>
      <c r="I180" s="24" t="s">
        <v>11</v>
      </c>
      <c r="J180" s="26"/>
    </row>
    <row r="181" spans="1:34">
      <c r="A181" s="31" t="s">
        <v>144</v>
      </c>
      <c r="B181" s="31" t="s">
        <v>121</v>
      </c>
      <c r="C181" s="32">
        <v>1</v>
      </c>
      <c r="D181" s="26" t="s">
        <v>91</v>
      </c>
      <c r="E181" s="31" t="s">
        <v>122</v>
      </c>
      <c r="F181" s="31"/>
      <c r="G181" s="31" t="s">
        <v>28</v>
      </c>
      <c r="H181" s="31" t="s">
        <v>18</v>
      </c>
      <c r="I181" s="31"/>
      <c r="J181" s="31"/>
    </row>
    <row r="182" spans="1:34">
      <c r="A182" s="31" t="s">
        <v>145</v>
      </c>
      <c r="B182" s="31" t="s">
        <v>146</v>
      </c>
      <c r="C182" s="32">
        <v>6.2600027252774755</v>
      </c>
      <c r="D182" s="26" t="s">
        <v>13</v>
      </c>
      <c r="E182" s="31" t="s">
        <v>122</v>
      </c>
      <c r="F182" s="31"/>
      <c r="G182" s="31" t="s">
        <v>28</v>
      </c>
      <c r="H182" s="31" t="s">
        <v>12</v>
      </c>
      <c r="I182" s="31" t="s">
        <v>147</v>
      </c>
      <c r="J182" s="31"/>
    </row>
    <row r="183" spans="1:34">
      <c r="A183" s="31" t="s">
        <v>27</v>
      </c>
      <c r="B183" s="31" t="s">
        <v>20</v>
      </c>
      <c r="C183" s="32">
        <v>0.14149097282644188</v>
      </c>
      <c r="D183" s="26" t="s">
        <v>19</v>
      </c>
      <c r="E183" s="31" t="s">
        <v>131</v>
      </c>
      <c r="F183" s="31"/>
      <c r="G183" s="31" t="s">
        <v>28</v>
      </c>
      <c r="H183" s="31" t="s">
        <v>12</v>
      </c>
      <c r="I183" s="31"/>
      <c r="J183" s="31"/>
      <c r="K183" s="31"/>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row>
    <row r="184" spans="1:34">
      <c r="A184" s="26" t="s">
        <v>132</v>
      </c>
      <c r="B184" s="31" t="s">
        <v>133</v>
      </c>
      <c r="C184" s="25">
        <v>3.2478194058327522E-7</v>
      </c>
      <c r="D184" s="26" t="s">
        <v>6</v>
      </c>
      <c r="E184" s="31" t="s">
        <v>131</v>
      </c>
      <c r="F184" s="31"/>
      <c r="G184" s="31" t="s">
        <v>134</v>
      </c>
      <c r="H184" s="31" t="s">
        <v>12</v>
      </c>
      <c r="I184" s="39"/>
      <c r="J184" s="31"/>
      <c r="K184" s="31"/>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row>
    <row r="185" spans="1:34">
      <c r="A185" s="31" t="s">
        <v>135</v>
      </c>
      <c r="B185" s="31" t="s">
        <v>136</v>
      </c>
      <c r="C185" s="25">
        <v>1.2259126889049042E-6</v>
      </c>
      <c r="D185" s="26" t="s">
        <v>6</v>
      </c>
      <c r="E185" s="31" t="s">
        <v>131</v>
      </c>
      <c r="F185" s="31"/>
      <c r="G185" s="31" t="s">
        <v>96</v>
      </c>
      <c r="H185" s="31" t="s">
        <v>12</v>
      </c>
      <c r="I185" s="31" t="s">
        <v>148</v>
      </c>
      <c r="J185" s="31"/>
      <c r="K185" s="31"/>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row>
    <row r="186" spans="1:34">
      <c r="A186" s="25" t="s">
        <v>123</v>
      </c>
      <c r="B186" s="26"/>
      <c r="C186" s="32">
        <v>2.2505808627236248</v>
      </c>
      <c r="D186" s="26" t="s">
        <v>13</v>
      </c>
      <c r="E186" s="26" t="s">
        <v>83</v>
      </c>
      <c r="F186" s="26" t="s">
        <v>124</v>
      </c>
      <c r="G186" s="26"/>
      <c r="H186" s="26" t="s">
        <v>15</v>
      </c>
      <c r="I186" s="26" t="s">
        <v>137</v>
      </c>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row>
    <row r="187" spans="1:34">
      <c r="A187" s="31" t="s">
        <v>138</v>
      </c>
      <c r="B187" s="31"/>
      <c r="C187" s="32">
        <v>0.26554760117984672</v>
      </c>
      <c r="D187" s="26" t="s">
        <v>13</v>
      </c>
      <c r="E187" s="26" t="s">
        <v>83</v>
      </c>
      <c r="F187" s="31" t="s">
        <v>109</v>
      </c>
      <c r="G187" s="31"/>
      <c r="H187" s="26" t="s">
        <v>15</v>
      </c>
      <c r="I187" s="26" t="s">
        <v>139</v>
      </c>
      <c r="J187" s="31"/>
      <c r="K187" s="31"/>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row>
    <row r="188" spans="1:34">
      <c r="A188" s="31" t="s">
        <v>110</v>
      </c>
      <c r="B188" s="31"/>
      <c r="C188" s="32">
        <v>1.4411332292900546E-2</v>
      </c>
      <c r="D188" s="26" t="s">
        <v>13</v>
      </c>
      <c r="E188" s="26" t="s">
        <v>83</v>
      </c>
      <c r="F188" s="31" t="s">
        <v>109</v>
      </c>
      <c r="G188" s="31"/>
      <c r="H188" s="26" t="s">
        <v>15</v>
      </c>
      <c r="I188" s="26" t="s">
        <v>139</v>
      </c>
      <c r="J188" s="31"/>
      <c r="K188" s="31"/>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row>
    <row r="189" spans="1:34">
      <c r="A189" s="31" t="s">
        <v>140</v>
      </c>
      <c r="B189" s="31"/>
      <c r="C189" s="25">
        <v>1.2515583872E-4</v>
      </c>
      <c r="D189" s="26" t="s">
        <v>13</v>
      </c>
      <c r="E189" s="26" t="s">
        <v>83</v>
      </c>
      <c r="F189" s="31" t="s">
        <v>109</v>
      </c>
      <c r="G189" s="31"/>
      <c r="H189" s="26" t="s">
        <v>15</v>
      </c>
      <c r="I189" s="26" t="s">
        <v>141</v>
      </c>
      <c r="J189" s="31"/>
      <c r="K189" s="31"/>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row>
    <row r="190" spans="1:34">
      <c r="A190" s="31" t="s">
        <v>85</v>
      </c>
      <c r="B190" s="31"/>
      <c r="C190" s="25">
        <v>6.5182656435999991E-6</v>
      </c>
      <c r="D190" s="26" t="s">
        <v>13</v>
      </c>
      <c r="E190" s="26" t="s">
        <v>83</v>
      </c>
      <c r="F190" s="31" t="s">
        <v>109</v>
      </c>
      <c r="G190" s="31"/>
      <c r="H190" s="26" t="s">
        <v>15</v>
      </c>
      <c r="I190" s="26" t="s">
        <v>141</v>
      </c>
      <c r="J190" s="31"/>
      <c r="K190" s="31"/>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row>
    <row r="191" spans="1:34">
      <c r="A191" s="31" t="s">
        <v>87</v>
      </c>
      <c r="B191" s="31"/>
      <c r="C191" s="25">
        <v>3.9108905687999992E-5</v>
      </c>
      <c r="D191" s="26" t="s">
        <v>13</v>
      </c>
      <c r="E191" s="26" t="s">
        <v>83</v>
      </c>
      <c r="F191" s="31" t="s">
        <v>109</v>
      </c>
      <c r="G191" s="31"/>
      <c r="H191" s="26" t="s">
        <v>15</v>
      </c>
      <c r="I191" s="26" t="s">
        <v>141</v>
      </c>
      <c r="J191" s="31"/>
      <c r="K191" s="31"/>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row>
    <row r="192" spans="1:34">
      <c r="A192" s="31" t="s">
        <v>89</v>
      </c>
      <c r="B192" s="31"/>
      <c r="C192" s="25">
        <v>6.5182656435999999E-5</v>
      </c>
      <c r="D192" s="26" t="s">
        <v>13</v>
      </c>
      <c r="E192" s="26" t="s">
        <v>83</v>
      </c>
      <c r="F192" s="31" t="s">
        <v>109</v>
      </c>
      <c r="G192" s="31"/>
      <c r="H192" s="26" t="s">
        <v>15</v>
      </c>
      <c r="I192" s="26" t="s">
        <v>141</v>
      </c>
      <c r="J192" s="31"/>
      <c r="K192" s="31"/>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row>
    <row r="193" spans="1:34">
      <c r="A193" s="31" t="s">
        <v>142</v>
      </c>
      <c r="B193" s="31"/>
      <c r="C193" s="25">
        <v>5.2146354539999992E-6</v>
      </c>
      <c r="D193" s="26" t="s">
        <v>13</v>
      </c>
      <c r="E193" s="26" t="s">
        <v>83</v>
      </c>
      <c r="F193" s="31" t="s">
        <v>109</v>
      </c>
      <c r="G193" s="31"/>
      <c r="H193" s="26" t="s">
        <v>15</v>
      </c>
      <c r="I193" s="26" t="s">
        <v>141</v>
      </c>
      <c r="J193" s="31"/>
      <c r="K193" s="31"/>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row>
    <row r="194" spans="1:34">
      <c r="A194" s="31" t="s">
        <v>143</v>
      </c>
      <c r="B194" s="31"/>
      <c r="C194" s="25">
        <v>1.8251510827999997E-11</v>
      </c>
      <c r="D194" s="26" t="s">
        <v>13</v>
      </c>
      <c r="E194" s="26" t="s">
        <v>83</v>
      </c>
      <c r="F194" s="31" t="s">
        <v>109</v>
      </c>
      <c r="G194" s="31"/>
      <c r="H194" s="26" t="s">
        <v>15</v>
      </c>
      <c r="I194" s="26" t="s">
        <v>141</v>
      </c>
      <c r="J194" s="31"/>
      <c r="K194" s="31"/>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row>
    <row r="195" spans="1:34" s="49" customFormat="1">
      <c r="A195" s="47"/>
      <c r="B195" s="47"/>
      <c r="C195" s="48"/>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row>
    <row r="196" spans="1:34">
      <c r="A196" s="24" t="s">
        <v>1</v>
      </c>
      <c r="B196" s="24" t="s">
        <v>149</v>
      </c>
      <c r="C196" s="2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row>
    <row r="197" spans="1:34">
      <c r="A197" s="24" t="s">
        <v>11</v>
      </c>
      <c r="B197" s="26" t="s">
        <v>312</v>
      </c>
      <c r="C197" s="2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row>
    <row r="198" spans="1:34">
      <c r="A198" s="24" t="s">
        <v>2</v>
      </c>
      <c r="B198" s="26" t="s">
        <v>28</v>
      </c>
      <c r="C198" s="2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row>
    <row r="199" spans="1:34">
      <c r="A199" s="27" t="s">
        <v>4</v>
      </c>
      <c r="B199" s="26" t="s">
        <v>121</v>
      </c>
      <c r="C199" s="2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row>
    <row r="200" spans="1:34">
      <c r="A200" s="24" t="s">
        <v>3</v>
      </c>
      <c r="B200" s="28">
        <v>1</v>
      </c>
      <c r="C200" s="25"/>
      <c r="D200" s="29"/>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row>
    <row r="201" spans="1:34">
      <c r="A201" s="24" t="s">
        <v>6</v>
      </c>
      <c r="B201" s="26" t="s">
        <v>91</v>
      </c>
      <c r="C201" s="25"/>
      <c r="D201" s="29"/>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row>
    <row r="202" spans="1:34">
      <c r="A202" s="24" t="s">
        <v>57</v>
      </c>
      <c r="B202" s="26"/>
      <c r="C202" s="25"/>
      <c r="D202" s="29"/>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row>
    <row r="203" spans="1:34">
      <c r="A203" s="24" t="s">
        <v>7</v>
      </c>
      <c r="B203" s="26"/>
      <c r="C203" s="2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row>
    <row r="204" spans="1:34">
      <c r="A204" s="24" t="s">
        <v>8</v>
      </c>
      <c r="B204" s="24" t="s">
        <v>4</v>
      </c>
      <c r="C204" s="30" t="s">
        <v>9</v>
      </c>
      <c r="D204" s="24" t="s">
        <v>6</v>
      </c>
      <c r="E204" s="24" t="s">
        <v>81</v>
      </c>
      <c r="F204" s="24" t="s">
        <v>10</v>
      </c>
      <c r="G204" s="24" t="s">
        <v>2</v>
      </c>
      <c r="H204" s="24" t="s">
        <v>5</v>
      </c>
      <c r="I204" s="24" t="s">
        <v>11</v>
      </c>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row>
    <row r="205" spans="1:34">
      <c r="A205" s="31" t="s">
        <v>149</v>
      </c>
      <c r="B205" s="31" t="s">
        <v>121</v>
      </c>
      <c r="C205" s="32">
        <v>1</v>
      </c>
      <c r="D205" s="26" t="s">
        <v>91</v>
      </c>
      <c r="E205" s="31" t="s">
        <v>122</v>
      </c>
      <c r="F205" s="31"/>
      <c r="G205" s="31" t="s">
        <v>28</v>
      </c>
      <c r="H205" s="31" t="s">
        <v>18</v>
      </c>
      <c r="I205" s="31"/>
      <c r="J205" s="31"/>
      <c r="K205" s="31"/>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row>
    <row r="206" spans="1:34">
      <c r="A206" s="26" t="s">
        <v>268</v>
      </c>
      <c r="B206" s="26" t="s">
        <v>267</v>
      </c>
      <c r="C206" s="32">
        <v>5.2260830394610069</v>
      </c>
      <c r="D206" s="26" t="s">
        <v>13</v>
      </c>
      <c r="E206" s="31" t="s">
        <v>122</v>
      </c>
      <c r="F206" s="26"/>
      <c r="G206" s="31" t="s">
        <v>28</v>
      </c>
      <c r="H206" s="26" t="s">
        <v>12</v>
      </c>
      <c r="I206" s="31" t="s">
        <v>147</v>
      </c>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row>
    <row r="207" spans="1:34">
      <c r="A207" s="31" t="s">
        <v>27</v>
      </c>
      <c r="B207" s="31" t="s">
        <v>20</v>
      </c>
      <c r="C207" s="32">
        <v>0.14257531854349526</v>
      </c>
      <c r="D207" s="26" t="s">
        <v>19</v>
      </c>
      <c r="E207" s="31" t="s">
        <v>131</v>
      </c>
      <c r="F207" s="31"/>
      <c r="G207" s="31" t="s">
        <v>28</v>
      </c>
      <c r="H207" s="31" t="s">
        <v>12</v>
      </c>
      <c r="I207" s="31"/>
      <c r="J207" s="31"/>
      <c r="K207" s="31"/>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row>
    <row r="208" spans="1:34">
      <c r="A208" s="26" t="s">
        <v>132</v>
      </c>
      <c r="B208" s="31" t="s">
        <v>133</v>
      </c>
      <c r="C208" s="25">
        <v>3.2478194058327522E-7</v>
      </c>
      <c r="D208" s="26" t="s">
        <v>6</v>
      </c>
      <c r="E208" s="31" t="s">
        <v>131</v>
      </c>
      <c r="F208" s="31"/>
      <c r="G208" s="31" t="s">
        <v>134</v>
      </c>
      <c r="H208" s="31" t="s">
        <v>12</v>
      </c>
      <c r="I208" s="39"/>
      <c r="J208" s="31"/>
      <c r="K208" s="31"/>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row>
    <row r="209" spans="1:34">
      <c r="A209" s="31" t="s">
        <v>135</v>
      </c>
      <c r="B209" s="31" t="s">
        <v>136</v>
      </c>
      <c r="C209" s="25">
        <v>1.2353077276634966E-6</v>
      </c>
      <c r="D209" s="26" t="s">
        <v>6</v>
      </c>
      <c r="E209" s="31" t="s">
        <v>131</v>
      </c>
      <c r="F209" s="31"/>
      <c r="G209" s="31" t="s">
        <v>96</v>
      </c>
      <c r="H209" s="31" t="s">
        <v>12</v>
      </c>
      <c r="I209" s="31" t="s">
        <v>148</v>
      </c>
      <c r="J209" s="31"/>
      <c r="K209" s="31"/>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row>
    <row r="210" spans="1:34">
      <c r="A210" s="25" t="s">
        <v>123</v>
      </c>
      <c r="B210" s="26"/>
      <c r="C210" s="32">
        <v>2.2511077672142359</v>
      </c>
      <c r="D210" s="26" t="s">
        <v>13</v>
      </c>
      <c r="E210" s="26" t="s">
        <v>83</v>
      </c>
      <c r="F210" s="26" t="s">
        <v>124</v>
      </c>
      <c r="G210" s="26"/>
      <c r="H210" s="26" t="s">
        <v>15</v>
      </c>
      <c r="I210" s="26" t="s">
        <v>137</v>
      </c>
    </row>
    <row r="211" spans="1:34">
      <c r="A211" s="31" t="s">
        <v>138</v>
      </c>
      <c r="B211" s="34"/>
      <c r="C211" s="32">
        <v>0.2653153277009781</v>
      </c>
      <c r="D211" s="26" t="s">
        <v>13</v>
      </c>
      <c r="E211" s="26" t="s">
        <v>83</v>
      </c>
      <c r="F211" s="31" t="s">
        <v>109</v>
      </c>
      <c r="G211" s="31"/>
      <c r="H211" s="26" t="s">
        <v>15</v>
      </c>
      <c r="I211" s="26" t="s">
        <v>139</v>
      </c>
    </row>
    <row r="212" spans="1:34">
      <c r="A212" s="31" t="s">
        <v>110</v>
      </c>
      <c r="B212" s="31"/>
      <c r="C212" s="32">
        <v>1.4521776557553446E-2</v>
      </c>
      <c r="D212" s="26" t="s">
        <v>13</v>
      </c>
      <c r="E212" s="26" t="s">
        <v>83</v>
      </c>
      <c r="F212" s="31" t="s">
        <v>109</v>
      </c>
      <c r="G212" s="31"/>
      <c r="H212" s="26" t="s">
        <v>15</v>
      </c>
      <c r="I212" s="26" t="s">
        <v>139</v>
      </c>
    </row>
    <row r="213" spans="1:34">
      <c r="A213" s="31" t="s">
        <v>140</v>
      </c>
      <c r="B213" s="31"/>
      <c r="C213" s="25">
        <v>1.2515583872E-4</v>
      </c>
      <c r="D213" s="26" t="s">
        <v>13</v>
      </c>
      <c r="E213" s="26" t="s">
        <v>83</v>
      </c>
      <c r="F213" s="31" t="s">
        <v>109</v>
      </c>
      <c r="G213" s="31"/>
      <c r="H213" s="26" t="s">
        <v>15</v>
      </c>
      <c r="I213" s="26" t="s">
        <v>141</v>
      </c>
      <c r="J213" s="31"/>
      <c r="K213" s="31"/>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row>
    <row r="214" spans="1:34">
      <c r="A214" s="31" t="s">
        <v>85</v>
      </c>
      <c r="B214" s="31"/>
      <c r="C214" s="25">
        <v>6.5182656435999991E-6</v>
      </c>
      <c r="D214" s="26" t="s">
        <v>13</v>
      </c>
      <c r="E214" s="26" t="s">
        <v>83</v>
      </c>
      <c r="F214" s="31" t="s">
        <v>109</v>
      </c>
      <c r="G214" s="31"/>
      <c r="H214" s="26" t="s">
        <v>15</v>
      </c>
      <c r="I214" s="26" t="s">
        <v>141</v>
      </c>
      <c r="J214" s="31"/>
      <c r="K214" s="31"/>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row>
    <row r="215" spans="1:34">
      <c r="A215" s="31" t="s">
        <v>87</v>
      </c>
      <c r="B215" s="31"/>
      <c r="C215" s="25">
        <v>3.9108905687999992E-5</v>
      </c>
      <c r="D215" s="26" t="s">
        <v>13</v>
      </c>
      <c r="E215" s="26" t="s">
        <v>83</v>
      </c>
      <c r="F215" s="31" t="s">
        <v>109</v>
      </c>
      <c r="G215" s="31"/>
      <c r="H215" s="26" t="s">
        <v>15</v>
      </c>
      <c r="I215" s="26" t="s">
        <v>141</v>
      </c>
      <c r="J215" s="31"/>
      <c r="K215" s="31"/>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row>
    <row r="216" spans="1:34">
      <c r="A216" s="31" t="s">
        <v>89</v>
      </c>
      <c r="B216" s="31"/>
      <c r="C216" s="25">
        <v>6.5182656435999999E-5</v>
      </c>
      <c r="D216" s="26" t="s">
        <v>13</v>
      </c>
      <c r="E216" s="26" t="s">
        <v>83</v>
      </c>
      <c r="F216" s="31" t="s">
        <v>109</v>
      </c>
      <c r="G216" s="31"/>
      <c r="H216" s="26" t="s">
        <v>15</v>
      </c>
      <c r="I216" s="26" t="s">
        <v>141</v>
      </c>
      <c r="J216" s="31"/>
      <c r="K216" s="31"/>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row>
    <row r="217" spans="1:34">
      <c r="A217" s="31" t="s">
        <v>142</v>
      </c>
      <c r="B217" s="31"/>
      <c r="C217" s="25">
        <v>5.2146354539999992E-6</v>
      </c>
      <c r="D217" s="26" t="s">
        <v>13</v>
      </c>
      <c r="E217" s="26" t="s">
        <v>83</v>
      </c>
      <c r="F217" s="31" t="s">
        <v>109</v>
      </c>
      <c r="G217" s="31"/>
      <c r="H217" s="26" t="s">
        <v>15</v>
      </c>
      <c r="I217" s="26" t="s">
        <v>141</v>
      </c>
      <c r="J217" s="31"/>
      <c r="K217" s="31"/>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row>
    <row r="218" spans="1:34">
      <c r="A218" s="31" t="s">
        <v>143</v>
      </c>
      <c r="B218" s="31"/>
      <c r="C218" s="25">
        <v>1.8251510827999997E-11</v>
      </c>
      <c r="D218" s="26" t="s">
        <v>13</v>
      </c>
      <c r="E218" s="26" t="s">
        <v>83</v>
      </c>
      <c r="F218" s="31" t="s">
        <v>109</v>
      </c>
      <c r="G218" s="31"/>
      <c r="H218" s="26" t="s">
        <v>15</v>
      </c>
      <c r="I218" s="26" t="s">
        <v>141</v>
      </c>
      <c r="J218" s="31"/>
      <c r="K218" s="31"/>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row>
    <row r="219" spans="1:34" s="49" customFormat="1">
      <c r="A219" s="47"/>
      <c r="B219" s="47"/>
      <c r="C219" s="48"/>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row>
    <row r="220" spans="1:34">
      <c r="A220" s="24" t="s">
        <v>1</v>
      </c>
      <c r="B220" s="24" t="s">
        <v>150</v>
      </c>
      <c r="C220" s="2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row>
    <row r="221" spans="1:34">
      <c r="A221" s="24" t="s">
        <v>11</v>
      </c>
      <c r="B221" s="26" t="s">
        <v>313</v>
      </c>
      <c r="C221" s="2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row>
    <row r="222" spans="1:34">
      <c r="A222" s="24" t="s">
        <v>2</v>
      </c>
      <c r="B222" s="26" t="s">
        <v>28</v>
      </c>
      <c r="C222" s="2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row>
    <row r="223" spans="1:34">
      <c r="A223" s="27" t="s">
        <v>4</v>
      </c>
      <c r="B223" s="26" t="s">
        <v>121</v>
      </c>
      <c r="C223" s="2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row>
    <row r="224" spans="1:34">
      <c r="A224" s="24" t="s">
        <v>3</v>
      </c>
      <c r="B224" s="28">
        <v>1</v>
      </c>
      <c r="C224" s="25"/>
      <c r="D224" s="29"/>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row>
    <row r="225" spans="1:34">
      <c r="A225" s="24" t="s">
        <v>6</v>
      </c>
      <c r="B225" s="26" t="s">
        <v>91</v>
      </c>
      <c r="C225" s="25"/>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row>
    <row r="226" spans="1:34">
      <c r="A226" s="24" t="s">
        <v>57</v>
      </c>
      <c r="B226" s="26"/>
      <c r="C226" s="25"/>
      <c r="D226" s="29"/>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row>
    <row r="227" spans="1:34">
      <c r="A227" s="24" t="s">
        <v>7</v>
      </c>
      <c r="B227" s="26"/>
      <c r="C227" s="2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row>
    <row r="228" spans="1:34">
      <c r="A228" s="24" t="s">
        <v>8</v>
      </c>
      <c r="B228" s="24" t="s">
        <v>4</v>
      </c>
      <c r="C228" s="30" t="s">
        <v>9</v>
      </c>
      <c r="D228" s="24" t="s">
        <v>6</v>
      </c>
      <c r="E228" s="24" t="s">
        <v>81</v>
      </c>
      <c r="F228" s="24" t="s">
        <v>10</v>
      </c>
      <c r="G228" s="24" t="s">
        <v>2</v>
      </c>
      <c r="H228" s="24" t="s">
        <v>5</v>
      </c>
      <c r="I228" s="24" t="s">
        <v>11</v>
      </c>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row>
    <row r="229" spans="1:34">
      <c r="A229" s="31" t="s">
        <v>150</v>
      </c>
      <c r="B229" s="31" t="s">
        <v>121</v>
      </c>
      <c r="C229" s="32">
        <v>1</v>
      </c>
      <c r="D229" s="26" t="s">
        <v>91</v>
      </c>
      <c r="E229" s="31"/>
      <c r="F229" s="31"/>
      <c r="G229" s="31" t="s">
        <v>28</v>
      </c>
      <c r="H229" s="31" t="s">
        <v>18</v>
      </c>
      <c r="I229" s="31"/>
      <c r="J229" s="31"/>
      <c r="K229" s="31"/>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row>
    <row r="230" spans="1:34">
      <c r="A230" s="26" t="s">
        <v>151</v>
      </c>
      <c r="B230" s="26" t="s">
        <v>152</v>
      </c>
      <c r="C230" s="32">
        <v>6.1033141160126458</v>
      </c>
      <c r="D230" s="26" t="s">
        <v>13</v>
      </c>
      <c r="E230" s="31"/>
      <c r="F230" s="26"/>
      <c r="G230" s="31" t="s">
        <v>28</v>
      </c>
      <c r="H230" s="26" t="s">
        <v>12</v>
      </c>
      <c r="I230" s="31" t="s">
        <v>147</v>
      </c>
      <c r="J230" s="26"/>
      <c r="K230" s="31"/>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row>
    <row r="231" spans="1:34">
      <c r="A231" s="31" t="s">
        <v>27</v>
      </c>
      <c r="B231" s="31" t="s">
        <v>20</v>
      </c>
      <c r="C231" s="32">
        <v>0.14208273740759059</v>
      </c>
      <c r="D231" s="26" t="s">
        <v>19</v>
      </c>
      <c r="E231" s="31" t="s">
        <v>131</v>
      </c>
      <c r="F231" s="31"/>
      <c r="G231" s="31" t="s">
        <v>28</v>
      </c>
      <c r="H231" s="31" t="s">
        <v>12</v>
      </c>
      <c r="I231" s="31"/>
      <c r="J231" s="31"/>
    </row>
    <row r="232" spans="1:34">
      <c r="A232" s="26" t="s">
        <v>132</v>
      </c>
      <c r="B232" s="31" t="s">
        <v>133</v>
      </c>
      <c r="C232" s="25">
        <v>3.2478194058327522E-7</v>
      </c>
      <c r="D232" s="26" t="s">
        <v>6</v>
      </c>
      <c r="E232" s="31" t="s">
        <v>131</v>
      </c>
      <c r="F232" s="31"/>
      <c r="G232" s="31" t="s">
        <v>134</v>
      </c>
      <c r="H232" s="31" t="s">
        <v>12</v>
      </c>
      <c r="I232" s="39"/>
      <c r="J232" s="31"/>
    </row>
    <row r="233" spans="1:34">
      <c r="A233" s="31" t="s">
        <v>135</v>
      </c>
      <c r="B233" s="31" t="s">
        <v>136</v>
      </c>
      <c r="C233" s="25">
        <v>1.2310398832013525E-6</v>
      </c>
      <c r="D233" s="26" t="s">
        <v>6</v>
      </c>
      <c r="E233" s="31" t="s">
        <v>131</v>
      </c>
      <c r="F233" s="31"/>
      <c r="G233" s="31" t="s">
        <v>96</v>
      </c>
      <c r="H233" s="31" t="s">
        <v>12</v>
      </c>
      <c r="I233" s="31" t="s">
        <v>148</v>
      </c>
      <c r="J233" s="31"/>
    </row>
    <row r="234" spans="1:34">
      <c r="A234" s="25" t="s">
        <v>123</v>
      </c>
      <c r="B234" s="26"/>
      <c r="C234" s="32">
        <v>2.2503243742142924</v>
      </c>
      <c r="D234" s="26" t="s">
        <v>13</v>
      </c>
      <c r="E234" s="26" t="s">
        <v>83</v>
      </c>
      <c r="F234" s="26" t="s">
        <v>124</v>
      </c>
      <c r="G234" s="26"/>
      <c r="H234" s="26" t="s">
        <v>15</v>
      </c>
      <c r="I234" s="26" t="s">
        <v>137</v>
      </c>
    </row>
    <row r="235" spans="1:34">
      <c r="A235" s="31" t="s">
        <v>138</v>
      </c>
      <c r="B235" s="34"/>
      <c r="C235" s="32">
        <v>0.26534706999299229</v>
      </c>
      <c r="D235" s="26" t="s">
        <v>13</v>
      </c>
      <c r="E235" s="26" t="s">
        <v>83</v>
      </c>
      <c r="F235" s="31" t="s">
        <v>109</v>
      </c>
      <c r="G235" s="31"/>
      <c r="H235" s="26" t="s">
        <v>15</v>
      </c>
      <c r="I235" s="26" t="s">
        <v>139</v>
      </c>
    </row>
    <row r="236" spans="1:34">
      <c r="A236" s="31" t="s">
        <v>110</v>
      </c>
      <c r="B236" s="31"/>
      <c r="C236" s="32">
        <v>1.4471605509260181E-2</v>
      </c>
      <c r="D236" s="26" t="s">
        <v>13</v>
      </c>
      <c r="E236" s="26" t="s">
        <v>83</v>
      </c>
      <c r="F236" s="31" t="s">
        <v>109</v>
      </c>
      <c r="G236" s="31"/>
      <c r="H236" s="26" t="s">
        <v>15</v>
      </c>
      <c r="I236" s="26" t="s">
        <v>139</v>
      </c>
    </row>
    <row r="237" spans="1:34">
      <c r="A237" s="31" t="s">
        <v>140</v>
      </c>
      <c r="B237" s="31"/>
      <c r="C237" s="25">
        <v>1.2515583871999998E-4</v>
      </c>
      <c r="D237" s="26" t="s">
        <v>13</v>
      </c>
      <c r="E237" s="26" t="s">
        <v>83</v>
      </c>
      <c r="F237" s="31" t="s">
        <v>109</v>
      </c>
      <c r="G237" s="31"/>
      <c r="H237" s="26" t="s">
        <v>15</v>
      </c>
      <c r="I237" s="26" t="s">
        <v>141</v>
      </c>
      <c r="J237" s="31"/>
    </row>
    <row r="238" spans="1:34">
      <c r="A238" s="31" t="s">
        <v>85</v>
      </c>
      <c r="B238" s="31"/>
      <c r="C238" s="25">
        <v>6.5182656435999982E-6</v>
      </c>
      <c r="D238" s="26" t="s">
        <v>13</v>
      </c>
      <c r="E238" s="26" t="s">
        <v>83</v>
      </c>
      <c r="F238" s="31" t="s">
        <v>109</v>
      </c>
      <c r="G238" s="31"/>
      <c r="H238" s="26" t="s">
        <v>15</v>
      </c>
      <c r="I238" s="26" t="s">
        <v>141</v>
      </c>
      <c r="J238" s="31"/>
    </row>
    <row r="239" spans="1:34">
      <c r="A239" s="31" t="s">
        <v>87</v>
      </c>
      <c r="B239" s="31"/>
      <c r="C239" s="25">
        <v>3.9108905687999992E-5</v>
      </c>
      <c r="D239" s="26" t="s">
        <v>13</v>
      </c>
      <c r="E239" s="26" t="s">
        <v>83</v>
      </c>
      <c r="F239" s="31" t="s">
        <v>109</v>
      </c>
      <c r="G239" s="31"/>
      <c r="H239" s="26" t="s">
        <v>15</v>
      </c>
      <c r="I239" s="26" t="s">
        <v>141</v>
      </c>
      <c r="J239" s="31"/>
    </row>
    <row r="240" spans="1:34">
      <c r="A240" s="31" t="s">
        <v>89</v>
      </c>
      <c r="B240" s="31"/>
      <c r="C240" s="25">
        <v>6.5182656435999986E-5</v>
      </c>
      <c r="D240" s="26" t="s">
        <v>13</v>
      </c>
      <c r="E240" s="26" t="s">
        <v>83</v>
      </c>
      <c r="F240" s="31" t="s">
        <v>109</v>
      </c>
      <c r="G240" s="31"/>
      <c r="H240" s="26" t="s">
        <v>15</v>
      </c>
      <c r="I240" s="26" t="s">
        <v>141</v>
      </c>
      <c r="J240" s="31"/>
    </row>
    <row r="241" spans="1:34">
      <c r="A241" s="31" t="s">
        <v>142</v>
      </c>
      <c r="B241" s="31"/>
      <c r="C241" s="25">
        <v>5.2146354539999984E-6</v>
      </c>
      <c r="D241" s="26" t="s">
        <v>13</v>
      </c>
      <c r="E241" s="26" t="s">
        <v>83</v>
      </c>
      <c r="F241" s="31" t="s">
        <v>109</v>
      </c>
      <c r="G241" s="31"/>
      <c r="H241" s="26" t="s">
        <v>15</v>
      </c>
      <c r="I241" s="26" t="s">
        <v>141</v>
      </c>
      <c r="J241" s="31"/>
    </row>
    <row r="242" spans="1:34">
      <c r="A242" s="31" t="s">
        <v>143</v>
      </c>
      <c r="B242" s="31"/>
      <c r="C242" s="25">
        <v>1.8251510827999994E-11</v>
      </c>
      <c r="D242" s="26" t="s">
        <v>13</v>
      </c>
      <c r="E242" s="26" t="s">
        <v>83</v>
      </c>
      <c r="F242" s="31" t="s">
        <v>109</v>
      </c>
      <c r="G242" s="31"/>
      <c r="H242" s="26" t="s">
        <v>15</v>
      </c>
      <c r="I242" s="26" t="s">
        <v>141</v>
      </c>
      <c r="J242" s="31"/>
    </row>
    <row r="243" spans="1:34" s="49" customFormat="1">
      <c r="A243" s="47"/>
      <c r="B243" s="47"/>
      <c r="C243" s="48"/>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row>
    <row r="244" spans="1:34">
      <c r="A244" s="24" t="s">
        <v>1</v>
      </c>
      <c r="B244" s="24" t="s">
        <v>153</v>
      </c>
      <c r="C244" s="2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row>
    <row r="245" spans="1:34">
      <c r="A245" s="24" t="s">
        <v>11</v>
      </c>
      <c r="B245" s="26" t="s">
        <v>314</v>
      </c>
      <c r="C245" s="2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row>
    <row r="246" spans="1:34">
      <c r="A246" s="24" t="s">
        <v>2</v>
      </c>
      <c r="B246" s="26" t="s">
        <v>28</v>
      </c>
      <c r="C246" s="2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row>
    <row r="247" spans="1:34">
      <c r="A247" s="27" t="s">
        <v>4</v>
      </c>
      <c r="B247" s="26" t="s">
        <v>121</v>
      </c>
      <c r="C247" s="2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row>
    <row r="248" spans="1:34">
      <c r="A248" s="24" t="s">
        <v>3</v>
      </c>
      <c r="B248" s="28">
        <v>1</v>
      </c>
      <c r="C248" s="25"/>
      <c r="D248" s="29"/>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row>
    <row r="249" spans="1:34">
      <c r="A249" s="24" t="s">
        <v>6</v>
      </c>
      <c r="B249" s="26" t="s">
        <v>91</v>
      </c>
      <c r="C249" s="25"/>
      <c r="D249" s="29"/>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row>
    <row r="250" spans="1:34">
      <c r="A250" s="24" t="s">
        <v>57</v>
      </c>
      <c r="B250" s="26"/>
      <c r="C250" s="25"/>
      <c r="D250" s="29"/>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row>
    <row r="251" spans="1:34">
      <c r="A251" s="24" t="s">
        <v>7</v>
      </c>
      <c r="B251" s="26"/>
      <c r="C251" s="2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row>
    <row r="252" spans="1:34">
      <c r="A252" s="24" t="s">
        <v>8</v>
      </c>
      <c r="B252" s="24" t="s">
        <v>4</v>
      </c>
      <c r="C252" s="30" t="s">
        <v>9</v>
      </c>
      <c r="D252" s="24" t="s">
        <v>6</v>
      </c>
      <c r="E252" s="24" t="s">
        <v>81</v>
      </c>
      <c r="F252" s="24" t="s">
        <v>10</v>
      </c>
      <c r="G252" s="24" t="s">
        <v>2</v>
      </c>
      <c r="H252" s="24" t="s">
        <v>5</v>
      </c>
      <c r="I252" s="24" t="s">
        <v>11</v>
      </c>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row>
    <row r="253" spans="1:34">
      <c r="A253" s="31" t="s">
        <v>153</v>
      </c>
      <c r="B253" s="31" t="s">
        <v>121</v>
      </c>
      <c r="C253" s="32">
        <v>1</v>
      </c>
      <c r="D253" s="26" t="s">
        <v>91</v>
      </c>
      <c r="E253" s="31" t="s">
        <v>122</v>
      </c>
      <c r="F253" s="31"/>
      <c r="G253" s="31" t="s">
        <v>28</v>
      </c>
      <c r="H253" s="31" t="s">
        <v>18</v>
      </c>
      <c r="I253" s="31"/>
      <c r="J253" s="31"/>
      <c r="K253" s="31"/>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row>
    <row r="254" spans="1:34">
      <c r="A254" s="26" t="s">
        <v>154</v>
      </c>
      <c r="B254" s="26" t="s">
        <v>155</v>
      </c>
      <c r="C254" s="32">
        <v>8.7176007971510625</v>
      </c>
      <c r="D254" s="26" t="s">
        <v>13</v>
      </c>
      <c r="E254" s="31" t="s">
        <v>122</v>
      </c>
      <c r="F254" s="26"/>
      <c r="G254" s="31" t="s">
        <v>28</v>
      </c>
      <c r="H254" s="26" t="s">
        <v>12</v>
      </c>
      <c r="I254" s="31" t="s">
        <v>147</v>
      </c>
      <c r="J254" s="26"/>
      <c r="K254" s="31"/>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row>
    <row r="255" spans="1:34">
      <c r="A255" s="31" t="s">
        <v>27</v>
      </c>
      <c r="B255" s="31" t="s">
        <v>20</v>
      </c>
      <c r="C255" s="32">
        <v>0.14187963100925111</v>
      </c>
      <c r="D255" s="26" t="s">
        <v>19</v>
      </c>
      <c r="E255" s="31" t="s">
        <v>131</v>
      </c>
      <c r="F255" s="31"/>
      <c r="G255" s="31" t="s">
        <v>28</v>
      </c>
      <c r="H255" s="31" t="s">
        <v>12</v>
      </c>
      <c r="I255" s="31"/>
      <c r="J255" s="31"/>
    </row>
    <row r="256" spans="1:34">
      <c r="A256" s="26" t="s">
        <v>132</v>
      </c>
      <c r="B256" s="31" t="s">
        <v>133</v>
      </c>
      <c r="C256" s="25">
        <v>3.2478194058327522E-7</v>
      </c>
      <c r="D256" s="26" t="s">
        <v>6</v>
      </c>
      <c r="E256" s="31" t="s">
        <v>131</v>
      </c>
      <c r="F256" s="31"/>
      <c r="G256" s="31" t="s">
        <v>134</v>
      </c>
      <c r="H256" s="31" t="s">
        <v>12</v>
      </c>
      <c r="I256" s="39"/>
      <c r="J256" s="31"/>
    </row>
    <row r="257" spans="1:34">
      <c r="A257" s="31" t="s">
        <v>135</v>
      </c>
      <c r="B257" s="31" t="s">
        <v>136</v>
      </c>
      <c r="C257" s="25">
        <v>1.2292801192676664E-6</v>
      </c>
      <c r="D257" s="26" t="s">
        <v>6</v>
      </c>
      <c r="E257" s="31" t="s">
        <v>131</v>
      </c>
      <c r="F257" s="31"/>
      <c r="G257" s="31" t="s">
        <v>96</v>
      </c>
      <c r="H257" s="31" t="s">
        <v>12</v>
      </c>
      <c r="I257" s="31" t="s">
        <v>148</v>
      </c>
      <c r="J257" s="31"/>
    </row>
    <row r="258" spans="1:34">
      <c r="A258" s="25" t="s">
        <v>123</v>
      </c>
      <c r="B258" s="26"/>
      <c r="C258" s="32">
        <v>2.2495030651572057</v>
      </c>
      <c r="D258" s="26" t="s">
        <v>13</v>
      </c>
      <c r="E258" s="26" t="s">
        <v>83</v>
      </c>
      <c r="F258" s="26" t="s">
        <v>124</v>
      </c>
      <c r="G258" s="26"/>
      <c r="H258" s="26" t="s">
        <v>15</v>
      </c>
      <c r="I258" s="26" t="s">
        <v>137</v>
      </c>
    </row>
    <row r="259" spans="1:34">
      <c r="A259" s="31" t="s">
        <v>138</v>
      </c>
      <c r="B259" s="34"/>
      <c r="C259" s="25">
        <v>0.26529258993003446</v>
      </c>
      <c r="D259" s="26" t="s">
        <v>13</v>
      </c>
      <c r="E259" s="26" t="s">
        <v>83</v>
      </c>
      <c r="F259" s="31" t="s">
        <v>109</v>
      </c>
      <c r="G259" s="31"/>
      <c r="H259" s="26" t="s">
        <v>15</v>
      </c>
      <c r="I259" s="26" t="s">
        <v>139</v>
      </c>
    </row>
    <row r="260" spans="1:34">
      <c r="A260" s="31" t="s">
        <v>110</v>
      </c>
      <c r="B260" s="31"/>
      <c r="C260" s="25">
        <v>1.4450918438284459E-2</v>
      </c>
      <c r="D260" s="26" t="s">
        <v>13</v>
      </c>
      <c r="E260" s="26" t="s">
        <v>83</v>
      </c>
      <c r="F260" s="31" t="s">
        <v>109</v>
      </c>
      <c r="G260" s="31"/>
      <c r="H260" s="26" t="s">
        <v>15</v>
      </c>
      <c r="I260" s="26" t="s">
        <v>139</v>
      </c>
    </row>
    <row r="261" spans="1:34">
      <c r="A261" s="31" t="s">
        <v>140</v>
      </c>
      <c r="B261" s="31"/>
      <c r="C261" s="25">
        <v>1.2515583872E-4</v>
      </c>
      <c r="D261" s="26" t="s">
        <v>13</v>
      </c>
      <c r="E261" s="26" t="s">
        <v>83</v>
      </c>
      <c r="F261" s="31" t="s">
        <v>109</v>
      </c>
      <c r="G261" s="31"/>
      <c r="H261" s="26" t="s">
        <v>15</v>
      </c>
      <c r="I261" s="26" t="s">
        <v>141</v>
      </c>
      <c r="J261" s="31"/>
    </row>
    <row r="262" spans="1:34">
      <c r="A262" s="31" t="s">
        <v>85</v>
      </c>
      <c r="B262" s="31"/>
      <c r="C262" s="25">
        <v>6.5182656435999991E-6</v>
      </c>
      <c r="D262" s="26" t="s">
        <v>13</v>
      </c>
      <c r="E262" s="26" t="s">
        <v>83</v>
      </c>
      <c r="F262" s="31" t="s">
        <v>109</v>
      </c>
      <c r="G262" s="31"/>
      <c r="H262" s="26" t="s">
        <v>15</v>
      </c>
      <c r="I262" s="26" t="s">
        <v>141</v>
      </c>
      <c r="J262" s="31"/>
    </row>
    <row r="263" spans="1:34">
      <c r="A263" s="31" t="s">
        <v>87</v>
      </c>
      <c r="B263" s="31"/>
      <c r="C263" s="25">
        <v>3.9108905687999992E-5</v>
      </c>
      <c r="D263" s="26" t="s">
        <v>13</v>
      </c>
      <c r="E263" s="26" t="s">
        <v>83</v>
      </c>
      <c r="F263" s="31" t="s">
        <v>109</v>
      </c>
      <c r="G263" s="31"/>
      <c r="H263" s="26" t="s">
        <v>15</v>
      </c>
      <c r="I263" s="26" t="s">
        <v>141</v>
      </c>
      <c r="J263" s="31"/>
    </row>
    <row r="264" spans="1:34">
      <c r="A264" s="31" t="s">
        <v>89</v>
      </c>
      <c r="B264" s="31"/>
      <c r="C264" s="25">
        <v>6.5182656435999999E-5</v>
      </c>
      <c r="D264" s="26" t="s">
        <v>13</v>
      </c>
      <c r="E264" s="26" t="s">
        <v>83</v>
      </c>
      <c r="F264" s="31" t="s">
        <v>109</v>
      </c>
      <c r="G264" s="31"/>
      <c r="H264" s="26" t="s">
        <v>15</v>
      </c>
      <c r="I264" s="26" t="s">
        <v>141</v>
      </c>
      <c r="J264" s="31"/>
    </row>
    <row r="265" spans="1:34">
      <c r="A265" s="31" t="s">
        <v>142</v>
      </c>
      <c r="B265" s="31"/>
      <c r="C265" s="25">
        <v>5.2146354539999992E-6</v>
      </c>
      <c r="D265" s="26" t="s">
        <v>13</v>
      </c>
      <c r="E265" s="26" t="s">
        <v>83</v>
      </c>
      <c r="F265" s="31" t="s">
        <v>109</v>
      </c>
      <c r="G265" s="31"/>
      <c r="H265" s="26" t="s">
        <v>15</v>
      </c>
      <c r="I265" s="26" t="s">
        <v>141</v>
      </c>
      <c r="J265" s="31"/>
    </row>
    <row r="266" spans="1:34">
      <c r="A266" s="31" t="s">
        <v>143</v>
      </c>
      <c r="B266" s="31"/>
      <c r="C266" s="25">
        <v>1.8251510827999997E-11</v>
      </c>
      <c r="D266" s="26" t="s">
        <v>13</v>
      </c>
      <c r="E266" s="26" t="s">
        <v>83</v>
      </c>
      <c r="F266" s="31" t="s">
        <v>109</v>
      </c>
      <c r="G266" s="31"/>
      <c r="H266" s="26" t="s">
        <v>15</v>
      </c>
      <c r="I266" s="26" t="s">
        <v>141</v>
      </c>
      <c r="J266" s="31"/>
    </row>
    <row r="267" spans="1:34" s="49" customFormat="1">
      <c r="A267" s="47"/>
      <c r="B267" s="47"/>
      <c r="C267" s="48"/>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row>
    <row r="268" spans="1:34">
      <c r="A268" s="24" t="s">
        <v>1</v>
      </c>
      <c r="B268" s="24" t="s">
        <v>395</v>
      </c>
      <c r="C268" s="22"/>
      <c r="D268" s="22"/>
      <c r="E268" s="22"/>
      <c r="F268" s="22"/>
      <c r="G268" s="22"/>
      <c r="H268" s="22"/>
      <c r="I268" s="22"/>
      <c r="J268" s="22"/>
      <c r="K268" s="22"/>
      <c r="L268" s="22"/>
      <c r="M268" s="22"/>
      <c r="N268" s="22"/>
    </row>
    <row r="269" spans="1:34">
      <c r="A269" s="24" t="s">
        <v>2</v>
      </c>
      <c r="B269" s="31" t="s">
        <v>28</v>
      </c>
      <c r="C269" s="22"/>
      <c r="D269" s="22"/>
      <c r="E269" s="22"/>
      <c r="F269" s="22"/>
      <c r="G269" s="22"/>
      <c r="H269" s="22"/>
      <c r="I269" s="22"/>
      <c r="J269" s="22"/>
      <c r="K269" s="22"/>
      <c r="L269" s="22"/>
      <c r="M269" s="22"/>
      <c r="N269" s="22"/>
    </row>
    <row r="270" spans="1:34">
      <c r="A270" s="24" t="s">
        <v>3</v>
      </c>
      <c r="B270" s="31">
        <v>1</v>
      </c>
      <c r="C270" s="22"/>
      <c r="D270" s="22"/>
      <c r="E270" s="22"/>
      <c r="F270" s="22"/>
      <c r="G270" s="22"/>
      <c r="H270" s="22"/>
      <c r="I270" s="22"/>
      <c r="J270" s="22"/>
      <c r="K270" s="22"/>
      <c r="L270" s="22"/>
      <c r="M270" s="22"/>
      <c r="N270" s="22"/>
    </row>
    <row r="271" spans="1:34">
      <c r="A271" s="24" t="s">
        <v>4</v>
      </c>
      <c r="B271" s="22" t="s">
        <v>394</v>
      </c>
      <c r="C271" s="22"/>
      <c r="D271" s="22"/>
      <c r="E271" s="22"/>
      <c r="F271" s="22"/>
      <c r="G271" s="22"/>
      <c r="H271" s="22"/>
      <c r="I271" s="22"/>
      <c r="J271" s="22"/>
      <c r="K271" s="22"/>
      <c r="L271" s="22"/>
      <c r="M271" s="22"/>
      <c r="N271" s="22"/>
    </row>
    <row r="272" spans="1:34">
      <c r="A272" s="24" t="s">
        <v>57</v>
      </c>
      <c r="B272" s="31" t="s">
        <v>534</v>
      </c>
      <c r="C272" s="22"/>
      <c r="D272" s="22"/>
      <c r="E272" s="22"/>
      <c r="F272" s="22"/>
      <c r="G272" s="22"/>
      <c r="H272" s="22"/>
      <c r="I272" s="22"/>
      <c r="J272" s="22"/>
      <c r="K272" s="22"/>
      <c r="L272" s="22"/>
      <c r="M272" s="22"/>
      <c r="N272" s="22"/>
    </row>
    <row r="273" spans="1:14">
      <c r="A273" s="24" t="s">
        <v>6</v>
      </c>
      <c r="B273" s="31" t="s">
        <v>13</v>
      </c>
      <c r="C273" s="22"/>
      <c r="D273" s="22"/>
      <c r="E273" s="22"/>
      <c r="F273" s="22"/>
      <c r="G273" s="22"/>
      <c r="H273" s="22"/>
      <c r="I273" s="22"/>
      <c r="J273" s="22"/>
      <c r="K273" s="22"/>
      <c r="L273" s="22"/>
      <c r="M273" s="22"/>
      <c r="N273" s="22"/>
    </row>
    <row r="274" spans="1:14">
      <c r="A274" s="24" t="s">
        <v>7</v>
      </c>
      <c r="B274" s="22"/>
      <c r="C274" s="22"/>
      <c r="D274" s="22"/>
      <c r="E274" s="22"/>
      <c r="F274" s="22"/>
      <c r="G274" s="22"/>
      <c r="H274" s="22"/>
      <c r="I274" s="22"/>
      <c r="J274" s="22"/>
      <c r="K274" s="22"/>
      <c r="L274" s="22"/>
      <c r="M274" s="22"/>
      <c r="N274" s="22"/>
    </row>
    <row r="275" spans="1:14" s="24" customFormat="1">
      <c r="A275" s="24" t="s">
        <v>8</v>
      </c>
      <c r="B275" s="24" t="s">
        <v>4</v>
      </c>
      <c r="C275" s="24" t="s">
        <v>9</v>
      </c>
      <c r="D275" s="24" t="s">
        <v>6</v>
      </c>
      <c r="E275" s="24" t="s">
        <v>81</v>
      </c>
      <c r="F275" s="24" t="s">
        <v>2</v>
      </c>
      <c r="G275" s="24" t="s">
        <v>10</v>
      </c>
      <c r="H275" s="24" t="s">
        <v>5</v>
      </c>
      <c r="I275" s="24" t="s">
        <v>11</v>
      </c>
    </row>
    <row r="276" spans="1:14">
      <c r="A276" s="22" t="s">
        <v>395</v>
      </c>
      <c r="B276" s="22" t="s">
        <v>394</v>
      </c>
      <c r="C276" s="22">
        <v>1</v>
      </c>
      <c r="D276" s="22" t="s">
        <v>13</v>
      </c>
      <c r="F276" s="31" t="s">
        <v>28</v>
      </c>
      <c r="G276" s="22"/>
      <c r="H276" s="22" t="s">
        <v>18</v>
      </c>
      <c r="I276" s="22"/>
      <c r="K276" s="22"/>
      <c r="L276" s="22"/>
      <c r="M276" s="22"/>
      <c r="N276" s="22"/>
    </row>
    <row r="277" spans="1:14">
      <c r="A277" t="s">
        <v>339</v>
      </c>
      <c r="B277" t="s">
        <v>339</v>
      </c>
      <c r="C277" s="13">
        <v>0.21599526407159997</v>
      </c>
      <c r="D277" t="s">
        <v>35</v>
      </c>
      <c r="E277" s="31" t="s">
        <v>131</v>
      </c>
      <c r="F277" s="22" t="s">
        <v>96</v>
      </c>
      <c r="H277" s="22" t="s">
        <v>12</v>
      </c>
      <c r="I277" s="22" t="s">
        <v>520</v>
      </c>
      <c r="K277" s="22"/>
      <c r="L277" s="22"/>
      <c r="M277" s="22"/>
      <c r="N277" s="22"/>
    </row>
    <row r="278" spans="1:14">
      <c r="A278" t="s">
        <v>512</v>
      </c>
      <c r="B278" t="s">
        <v>512</v>
      </c>
      <c r="C278" s="13">
        <v>3.331311572796599E-2</v>
      </c>
      <c r="D278" t="s">
        <v>35</v>
      </c>
      <c r="E278" s="31" t="s">
        <v>131</v>
      </c>
      <c r="F278" s="22" t="s">
        <v>96</v>
      </c>
      <c r="H278" s="22" t="s">
        <v>12</v>
      </c>
      <c r="I278" s="22" t="s">
        <v>521</v>
      </c>
      <c r="K278" s="22"/>
      <c r="L278" s="22"/>
      <c r="M278" s="22"/>
      <c r="N278" s="22"/>
    </row>
    <row r="279" spans="1:14">
      <c r="A279" t="s">
        <v>287</v>
      </c>
      <c r="B279" t="s">
        <v>287</v>
      </c>
      <c r="C279" s="13">
        <v>6.2514013928414991E-2</v>
      </c>
      <c r="D279" t="s">
        <v>35</v>
      </c>
      <c r="E279" s="31" t="s">
        <v>131</v>
      </c>
      <c r="F279" s="22" t="s">
        <v>28</v>
      </c>
      <c r="H279" s="22" t="s">
        <v>12</v>
      </c>
      <c r="I279" s="22" t="s">
        <v>522</v>
      </c>
      <c r="K279" s="22"/>
      <c r="L279" s="22"/>
      <c r="M279" s="22"/>
      <c r="N279" s="22"/>
    </row>
    <row r="280" spans="1:14">
      <c r="A280" t="s">
        <v>27</v>
      </c>
      <c r="B280" t="s">
        <v>20</v>
      </c>
      <c r="C280" s="13">
        <v>1.5299664538404997E-2</v>
      </c>
      <c r="D280" t="s">
        <v>19</v>
      </c>
      <c r="E280" s="31" t="s">
        <v>131</v>
      </c>
      <c r="F280" s="22" t="s">
        <v>28</v>
      </c>
      <c r="H280" s="22" t="s">
        <v>12</v>
      </c>
      <c r="I280" s="22" t="s">
        <v>523</v>
      </c>
      <c r="K280" s="22"/>
      <c r="L280" s="22"/>
      <c r="M280" s="22"/>
      <c r="N280" s="22"/>
    </row>
    <row r="281" spans="1:14">
      <c r="A281" t="s">
        <v>169</v>
      </c>
      <c r="B281" t="s">
        <v>160</v>
      </c>
      <c r="C281" s="13">
        <v>1.5807054999999997E-2</v>
      </c>
      <c r="D281" t="s">
        <v>13</v>
      </c>
      <c r="E281" s="31" t="s">
        <v>131</v>
      </c>
      <c r="F281" s="22" t="s">
        <v>28</v>
      </c>
      <c r="H281" s="22" t="s">
        <v>12</v>
      </c>
      <c r="I281" s="22"/>
      <c r="K281" s="22"/>
      <c r="L281" s="22"/>
      <c r="M281" s="22"/>
      <c r="N281" s="22"/>
    </row>
    <row r="282" spans="1:14">
      <c r="A282" t="s">
        <v>333</v>
      </c>
      <c r="B282" t="s">
        <v>334</v>
      </c>
      <c r="C282" s="13">
        <v>5.9291219999999993E-3</v>
      </c>
      <c r="D282" t="s">
        <v>13</v>
      </c>
      <c r="E282" s="31" t="s">
        <v>131</v>
      </c>
      <c r="F282" s="22" t="s">
        <v>28</v>
      </c>
      <c r="H282" s="22" t="s">
        <v>12</v>
      </c>
      <c r="I282" s="22"/>
      <c r="K282" s="22"/>
      <c r="L282" s="22"/>
      <c r="M282" s="22"/>
      <c r="N282" s="22"/>
    </row>
    <row r="283" spans="1:14">
      <c r="A283" t="s">
        <v>335</v>
      </c>
      <c r="B283" t="s">
        <v>336</v>
      </c>
      <c r="C283" s="13">
        <v>5.9960509999999988E-3</v>
      </c>
      <c r="D283" t="s">
        <v>13</v>
      </c>
      <c r="E283" s="31" t="s">
        <v>131</v>
      </c>
      <c r="F283" s="22" t="s">
        <v>28</v>
      </c>
      <c r="H283" s="22" t="s">
        <v>12</v>
      </c>
      <c r="I283" s="22"/>
      <c r="K283" s="22"/>
      <c r="L283" s="22"/>
      <c r="M283" s="22"/>
      <c r="N283" s="22"/>
    </row>
    <row r="284" spans="1:14">
      <c r="A284" s="59" t="s">
        <v>337</v>
      </c>
      <c r="B284" t="s">
        <v>338</v>
      </c>
      <c r="C284" s="13">
        <v>5.7362089999999998E-2</v>
      </c>
      <c r="D284" t="s">
        <v>13</v>
      </c>
      <c r="E284" s="31" t="s">
        <v>131</v>
      </c>
      <c r="F284" s="22" t="s">
        <v>96</v>
      </c>
      <c r="H284" s="22" t="s">
        <v>12</v>
      </c>
      <c r="I284" s="22"/>
      <c r="K284" s="22"/>
      <c r="L284" s="22"/>
      <c r="M284" s="22"/>
      <c r="N284" s="22"/>
    </row>
    <row r="285" spans="1:14">
      <c r="A285" t="s">
        <v>513</v>
      </c>
      <c r="B285" t="s">
        <v>517</v>
      </c>
      <c r="C285" s="13">
        <v>4.9173129999999992E-7</v>
      </c>
      <c r="D285" t="s">
        <v>13</v>
      </c>
      <c r="E285" s="31" t="s">
        <v>131</v>
      </c>
      <c r="F285" s="22" t="s">
        <v>96</v>
      </c>
      <c r="H285" s="22" t="s">
        <v>12</v>
      </c>
      <c r="I285" s="22" t="s">
        <v>524</v>
      </c>
      <c r="K285" s="22"/>
      <c r="L285" s="22"/>
      <c r="M285" s="22"/>
      <c r="N285" s="22"/>
    </row>
    <row r="286" spans="1:14">
      <c r="A286" t="s">
        <v>331</v>
      </c>
      <c r="B286" t="s">
        <v>332</v>
      </c>
      <c r="C286" s="13">
        <v>2.3043064149999999E-4</v>
      </c>
      <c r="D286" t="s">
        <v>13</v>
      </c>
      <c r="E286" s="26" t="s">
        <v>83</v>
      </c>
      <c r="F286" s="22" t="s">
        <v>96</v>
      </c>
      <c r="H286" s="22" t="s">
        <v>12</v>
      </c>
      <c r="I286" s="22" t="s">
        <v>525</v>
      </c>
      <c r="K286" s="22"/>
      <c r="L286" s="22"/>
      <c r="M286" s="22"/>
      <c r="N286" s="22"/>
    </row>
    <row r="287" spans="1:14">
      <c r="A287" t="s">
        <v>329</v>
      </c>
      <c r="B287" t="s">
        <v>330</v>
      </c>
      <c r="C287" s="13">
        <v>3.2200000000000002E-3</v>
      </c>
      <c r="D287" t="s">
        <v>13</v>
      </c>
      <c r="E287" s="26" t="s">
        <v>83</v>
      </c>
      <c r="F287" s="22" t="s">
        <v>96</v>
      </c>
      <c r="H287" s="22" t="s">
        <v>12</v>
      </c>
      <c r="I287" s="22" t="s">
        <v>526</v>
      </c>
      <c r="K287" s="22"/>
      <c r="L287" s="22"/>
      <c r="M287" s="22"/>
      <c r="N287" s="22"/>
    </row>
    <row r="288" spans="1:14">
      <c r="A288" t="s">
        <v>514</v>
      </c>
      <c r="B288" t="s">
        <v>518</v>
      </c>
      <c r="C288" s="13">
        <v>8.2529999999999998E-5</v>
      </c>
      <c r="D288" t="s">
        <v>164</v>
      </c>
      <c r="E288" s="26" t="s">
        <v>83</v>
      </c>
      <c r="F288" s="22" t="s">
        <v>96</v>
      </c>
      <c r="H288" s="22" t="s">
        <v>12</v>
      </c>
      <c r="I288" s="22" t="s">
        <v>527</v>
      </c>
      <c r="J288" s="22"/>
      <c r="K288" s="22"/>
      <c r="L288" s="22"/>
      <c r="M288" s="22"/>
      <c r="N288" s="22"/>
    </row>
    <row r="289" spans="1:14">
      <c r="A289" t="s">
        <v>515</v>
      </c>
      <c r="B289" t="s">
        <v>519</v>
      </c>
      <c r="C289" s="13">
        <v>0.24474000000000001</v>
      </c>
      <c r="D289" t="s">
        <v>91</v>
      </c>
      <c r="E289" s="26" t="s">
        <v>83</v>
      </c>
      <c r="F289" s="22" t="s">
        <v>28</v>
      </c>
      <c r="H289" s="22" t="s">
        <v>12</v>
      </c>
      <c r="I289" s="22" t="s">
        <v>528</v>
      </c>
      <c r="J289" s="22"/>
      <c r="K289" s="22"/>
      <c r="L289" s="22"/>
      <c r="M289" s="22"/>
      <c r="N289" s="22"/>
    </row>
    <row r="290" spans="1:14">
      <c r="A290" t="s">
        <v>123</v>
      </c>
      <c r="B290"/>
      <c r="C290" s="13">
        <v>0</v>
      </c>
      <c r="D290" t="s">
        <v>13</v>
      </c>
      <c r="E290" s="26" t="s">
        <v>83</v>
      </c>
      <c r="F290" s="22"/>
      <c r="G290" t="s">
        <v>124</v>
      </c>
      <c r="H290" s="22" t="s">
        <v>15</v>
      </c>
      <c r="I290" s="22" t="s">
        <v>529</v>
      </c>
      <c r="J290" s="22"/>
      <c r="K290" s="22"/>
      <c r="L290" s="22"/>
      <c r="M290" s="22"/>
      <c r="N290" s="22"/>
    </row>
    <row r="291" spans="1:14">
      <c r="A291" t="s">
        <v>341</v>
      </c>
      <c r="C291" s="13">
        <v>13.622223068650793</v>
      </c>
      <c r="D291" t="s">
        <v>35</v>
      </c>
      <c r="E291" s="26" t="s">
        <v>83</v>
      </c>
      <c r="F291" s="22"/>
      <c r="G291" t="s">
        <v>342</v>
      </c>
      <c r="H291" s="22" t="s">
        <v>15</v>
      </c>
      <c r="I291" s="22" t="s">
        <v>529</v>
      </c>
      <c r="J291" s="22"/>
      <c r="K291" s="22"/>
      <c r="L291" s="22"/>
      <c r="M291" s="22"/>
      <c r="N291" s="22"/>
    </row>
    <row r="292" spans="1:14">
      <c r="A292" t="s">
        <v>32</v>
      </c>
      <c r="C292" s="13">
        <v>2.2165309999999994E-2</v>
      </c>
      <c r="D292" t="s">
        <v>13</v>
      </c>
      <c r="E292" s="26" t="s">
        <v>83</v>
      </c>
      <c r="F292" s="22"/>
      <c r="G292" t="s">
        <v>25</v>
      </c>
      <c r="H292" s="22" t="s">
        <v>15</v>
      </c>
      <c r="I292" s="22" t="s">
        <v>530</v>
      </c>
      <c r="J292" s="22"/>
      <c r="K292" s="22"/>
      <c r="L292" s="22"/>
      <c r="M292" s="22"/>
      <c r="N292" s="22"/>
    </row>
    <row r="293" spans="1:14">
      <c r="A293" t="s">
        <v>516</v>
      </c>
      <c r="C293" s="13">
        <v>3.6196777999999996E-4</v>
      </c>
      <c r="D293" t="s">
        <v>13</v>
      </c>
      <c r="E293" s="26" t="s">
        <v>83</v>
      </c>
      <c r="F293" s="22"/>
      <c r="G293" t="s">
        <v>25</v>
      </c>
      <c r="H293" s="22" t="s">
        <v>15</v>
      </c>
      <c r="I293" s="22" t="s">
        <v>531</v>
      </c>
      <c r="J293" s="22"/>
      <c r="K293" s="22"/>
      <c r="L293" s="22"/>
      <c r="M293" s="22"/>
      <c r="N293" s="22"/>
    </row>
    <row r="294" spans="1:14">
      <c r="A294" t="s">
        <v>85</v>
      </c>
      <c r="C294" s="13">
        <v>4.5200696999999994E-4</v>
      </c>
      <c r="D294" t="s">
        <v>13</v>
      </c>
      <c r="E294" s="26" t="s">
        <v>83</v>
      </c>
      <c r="F294" s="22"/>
      <c r="G294" t="s">
        <v>25</v>
      </c>
      <c r="H294" s="22" t="s">
        <v>15</v>
      </c>
      <c r="I294" s="22" t="s">
        <v>532</v>
      </c>
      <c r="J294" s="22"/>
      <c r="K294" s="22"/>
      <c r="L294" s="22"/>
      <c r="M294" s="22"/>
      <c r="N294" s="22"/>
    </row>
    <row r="295" spans="1:14">
      <c r="A295" t="s">
        <v>93</v>
      </c>
      <c r="C295" s="13">
        <v>0.17007192792102799</v>
      </c>
      <c r="D295" t="s">
        <v>91</v>
      </c>
      <c r="E295" s="26" t="s">
        <v>83</v>
      </c>
      <c r="F295" s="22"/>
      <c r="G295" t="s">
        <v>25</v>
      </c>
      <c r="H295" s="22" t="s">
        <v>15</v>
      </c>
      <c r="I295" s="22" t="s">
        <v>343</v>
      </c>
      <c r="J295" s="22"/>
      <c r="K295" s="22"/>
      <c r="L295" s="22"/>
      <c r="M295" s="22"/>
      <c r="N295" s="22"/>
    </row>
    <row r="296" spans="1:14">
      <c r="A296" t="s">
        <v>87</v>
      </c>
      <c r="C296" s="13">
        <v>8.3517419999999996E-5</v>
      </c>
      <c r="D296" t="s">
        <v>13</v>
      </c>
      <c r="E296" s="26" t="s">
        <v>83</v>
      </c>
      <c r="F296" s="22"/>
      <c r="G296" t="s">
        <v>109</v>
      </c>
      <c r="H296" s="22" t="s">
        <v>15</v>
      </c>
      <c r="I296" s="22" t="s">
        <v>343</v>
      </c>
      <c r="J296" s="22"/>
      <c r="K296" s="22"/>
      <c r="L296" s="22"/>
      <c r="M296" s="22"/>
      <c r="N296" s="22"/>
    </row>
    <row r="297" spans="1:14">
      <c r="A297" t="s">
        <v>194</v>
      </c>
      <c r="C297" s="13">
        <v>1.0182310000000001E-3</v>
      </c>
      <c r="D297" t="s">
        <v>13</v>
      </c>
      <c r="E297" s="26" t="s">
        <v>83</v>
      </c>
      <c r="F297" s="22"/>
      <c r="G297" t="s">
        <v>109</v>
      </c>
      <c r="H297" s="22" t="s">
        <v>15</v>
      </c>
      <c r="I297" s="22" t="s">
        <v>343</v>
      </c>
      <c r="J297" s="22"/>
      <c r="K297" s="22"/>
      <c r="L297" s="22"/>
      <c r="M297" s="22"/>
      <c r="N297" s="22"/>
    </row>
    <row r="298" spans="1:14">
      <c r="A298" t="s">
        <v>344</v>
      </c>
      <c r="C298" s="13">
        <v>0.47991081325301199</v>
      </c>
      <c r="D298" t="s">
        <v>113</v>
      </c>
      <c r="E298" s="26" t="s">
        <v>83</v>
      </c>
      <c r="F298" s="22"/>
      <c r="G298" t="s">
        <v>16</v>
      </c>
      <c r="H298" s="22" t="s">
        <v>15</v>
      </c>
      <c r="I298" s="22" t="s">
        <v>345</v>
      </c>
      <c r="J298" s="22"/>
      <c r="K298" s="22"/>
      <c r="L298" s="22"/>
      <c r="M298" s="22"/>
      <c r="N298" s="22"/>
    </row>
    <row r="299" spans="1:14">
      <c r="A299" t="s">
        <v>346</v>
      </c>
      <c r="C299" s="13">
        <v>0.47991081325301199</v>
      </c>
      <c r="D299" t="s">
        <v>113</v>
      </c>
      <c r="E299" s="26" t="s">
        <v>83</v>
      </c>
      <c r="F299" s="22"/>
      <c r="G299" t="s">
        <v>16</v>
      </c>
      <c r="H299" s="22" t="s">
        <v>15</v>
      </c>
      <c r="I299" s="22" t="s">
        <v>345</v>
      </c>
      <c r="J299" s="22"/>
      <c r="K299" s="22"/>
      <c r="L299" s="22"/>
      <c r="M299" s="22"/>
      <c r="N299" s="22"/>
    </row>
    <row r="300" spans="1:14">
      <c r="A300" t="s">
        <v>347</v>
      </c>
      <c r="C300" s="13">
        <v>0.95982162650602398</v>
      </c>
      <c r="D300" t="s">
        <v>17</v>
      </c>
      <c r="E300" s="26" t="s">
        <v>83</v>
      </c>
      <c r="F300" s="22"/>
      <c r="G300" t="s">
        <v>16</v>
      </c>
      <c r="H300" s="22" t="s">
        <v>15</v>
      </c>
      <c r="I300" s="22" t="s">
        <v>348</v>
      </c>
      <c r="J300" s="22"/>
      <c r="K300" s="22"/>
      <c r="L300" s="22"/>
      <c r="M300" s="22"/>
      <c r="N300" s="22"/>
    </row>
    <row r="301" spans="1:14">
      <c r="A301" t="s">
        <v>349</v>
      </c>
      <c r="C301" s="13">
        <v>1.0107999999999999E-6</v>
      </c>
      <c r="D301" t="s">
        <v>13</v>
      </c>
      <c r="E301" s="26" t="s">
        <v>83</v>
      </c>
      <c r="F301" s="22"/>
      <c r="G301" t="s">
        <v>350</v>
      </c>
      <c r="H301" s="22" t="s">
        <v>15</v>
      </c>
      <c r="I301" s="22" t="s">
        <v>343</v>
      </c>
      <c r="J301" s="22"/>
      <c r="K301" s="22"/>
      <c r="L301" s="22"/>
      <c r="M301" s="22"/>
      <c r="N301" s="22"/>
    </row>
    <row r="302" spans="1:14">
      <c r="A302" t="s">
        <v>351</v>
      </c>
      <c r="C302" s="13">
        <v>6.1366999999999996E-7</v>
      </c>
      <c r="D302" t="s">
        <v>13</v>
      </c>
      <c r="E302" s="26" t="s">
        <v>83</v>
      </c>
      <c r="F302" s="22"/>
      <c r="G302" t="s">
        <v>350</v>
      </c>
      <c r="H302" s="22" t="s">
        <v>15</v>
      </c>
      <c r="I302" s="22" t="s">
        <v>343</v>
      </c>
      <c r="J302" s="22"/>
      <c r="K302" s="22"/>
      <c r="L302" s="22"/>
      <c r="M302" s="22"/>
      <c r="N302" s="22"/>
    </row>
    <row r="303" spans="1:14">
      <c r="A303" t="s">
        <v>352</v>
      </c>
      <c r="C303" s="13">
        <v>4.8131000000000003E-9</v>
      </c>
      <c r="D303" t="s">
        <v>13</v>
      </c>
      <c r="E303" s="26" t="s">
        <v>83</v>
      </c>
      <c r="F303" s="22"/>
      <c r="G303" t="s">
        <v>350</v>
      </c>
      <c r="H303" s="22" t="s">
        <v>15</v>
      </c>
      <c r="I303" s="22" t="s">
        <v>343</v>
      </c>
      <c r="J303" s="22"/>
      <c r="K303" s="22"/>
      <c r="L303" s="22"/>
      <c r="M303" s="22"/>
      <c r="N303" s="22"/>
    </row>
    <row r="304" spans="1:14">
      <c r="A304" t="s">
        <v>353</v>
      </c>
      <c r="C304" s="13">
        <v>6.4977000000000003E-7</v>
      </c>
      <c r="D304" t="s">
        <v>13</v>
      </c>
      <c r="E304" s="26" t="s">
        <v>83</v>
      </c>
      <c r="F304" s="22"/>
      <c r="G304" t="s">
        <v>350</v>
      </c>
      <c r="H304" s="22" t="s">
        <v>15</v>
      </c>
      <c r="I304" s="22" t="s">
        <v>343</v>
      </c>
      <c r="J304" s="22"/>
      <c r="K304" s="22"/>
      <c r="L304" s="22"/>
      <c r="M304" s="22"/>
      <c r="N304" s="22"/>
    </row>
    <row r="305" spans="1:14">
      <c r="A305" t="s">
        <v>354</v>
      </c>
      <c r="C305" s="13">
        <v>-1.5040999999999999E-6</v>
      </c>
      <c r="D305" t="s">
        <v>13</v>
      </c>
      <c r="E305" s="26" t="s">
        <v>83</v>
      </c>
      <c r="F305" s="22"/>
      <c r="G305" t="s">
        <v>350</v>
      </c>
      <c r="H305" s="22" t="s">
        <v>15</v>
      </c>
      <c r="I305" s="22" t="s">
        <v>343</v>
      </c>
      <c r="J305" s="22"/>
      <c r="K305" s="22"/>
      <c r="L305" s="22"/>
      <c r="M305" s="22"/>
      <c r="N305" s="22"/>
    </row>
    <row r="306" spans="1:14">
      <c r="A306" t="s">
        <v>355</v>
      </c>
      <c r="C306" s="13">
        <v>1.2032999999999999E-7</v>
      </c>
      <c r="D306" t="s">
        <v>13</v>
      </c>
      <c r="E306" s="26" t="s">
        <v>83</v>
      </c>
      <c r="F306" s="22"/>
      <c r="G306" t="s">
        <v>350</v>
      </c>
      <c r="H306" s="22" t="s">
        <v>15</v>
      </c>
      <c r="I306" s="22" t="s">
        <v>343</v>
      </c>
      <c r="J306" s="22"/>
      <c r="K306" s="22"/>
      <c r="L306" s="22"/>
      <c r="M306" s="22"/>
      <c r="N306" s="22"/>
    </row>
    <row r="307" spans="1:14">
      <c r="A307" t="s">
        <v>356</v>
      </c>
      <c r="C307" s="13">
        <v>2.4787000000000001E-6</v>
      </c>
      <c r="D307" t="s">
        <v>13</v>
      </c>
      <c r="E307" s="26" t="s">
        <v>83</v>
      </c>
      <c r="F307" s="22"/>
      <c r="G307" t="s">
        <v>350</v>
      </c>
      <c r="H307" s="22" t="s">
        <v>15</v>
      </c>
      <c r="I307" s="22" t="s">
        <v>343</v>
      </c>
      <c r="J307" s="22"/>
      <c r="K307" s="22"/>
      <c r="L307" s="22"/>
      <c r="M307" s="22"/>
      <c r="N307" s="22"/>
    </row>
    <row r="308" spans="1:14">
      <c r="A308" t="s">
        <v>357</v>
      </c>
      <c r="C308" s="13">
        <v>1.0829E-7</v>
      </c>
      <c r="D308" t="s">
        <v>13</v>
      </c>
      <c r="E308" s="26" t="s">
        <v>83</v>
      </c>
      <c r="F308" s="22"/>
      <c r="G308" t="s">
        <v>350</v>
      </c>
      <c r="H308" s="22" t="s">
        <v>15</v>
      </c>
      <c r="I308" s="22" t="s">
        <v>343</v>
      </c>
      <c r="J308" s="22"/>
      <c r="K308" s="22"/>
      <c r="L308" s="22"/>
      <c r="M308" s="22"/>
      <c r="N308" s="22"/>
    </row>
    <row r="309" spans="1:14">
      <c r="A309" t="s">
        <v>358</v>
      </c>
      <c r="C309" s="13">
        <v>1.0107999999999999E-6</v>
      </c>
      <c r="D309" t="s">
        <v>13</v>
      </c>
      <c r="E309" s="26" t="s">
        <v>83</v>
      </c>
      <c r="F309" s="22"/>
      <c r="G309" t="s">
        <v>350</v>
      </c>
      <c r="H309" s="22" t="s">
        <v>15</v>
      </c>
      <c r="I309" s="22" t="s">
        <v>343</v>
      </c>
      <c r="J309" s="22"/>
      <c r="K309" s="22"/>
      <c r="L309" s="22"/>
      <c r="M309" s="22"/>
      <c r="N309" s="22"/>
    </row>
    <row r="310" spans="1:14">
      <c r="A310" t="s">
        <v>359</v>
      </c>
      <c r="C310" s="13">
        <v>2.4065000000000001E-8</v>
      </c>
      <c r="D310" t="s">
        <v>13</v>
      </c>
      <c r="E310" s="26" t="s">
        <v>83</v>
      </c>
      <c r="F310" s="22"/>
      <c r="G310" t="s">
        <v>350</v>
      </c>
      <c r="H310" s="22" t="s">
        <v>15</v>
      </c>
      <c r="I310" s="22" t="s">
        <v>343</v>
      </c>
      <c r="J310" s="22"/>
      <c r="K310" s="22"/>
      <c r="L310" s="22"/>
      <c r="M310" s="22"/>
      <c r="N310" s="22"/>
    </row>
    <row r="311" spans="1:14">
      <c r="A311" t="s">
        <v>360</v>
      </c>
      <c r="C311" s="13">
        <v>-3.2893999999999998E-7</v>
      </c>
      <c r="D311" t="s">
        <v>13</v>
      </c>
      <c r="E311" s="26" t="s">
        <v>83</v>
      </c>
      <c r="F311" s="22"/>
      <c r="G311" t="s">
        <v>350</v>
      </c>
      <c r="H311" s="22" t="s">
        <v>15</v>
      </c>
      <c r="I311" s="22" t="s">
        <v>343</v>
      </c>
      <c r="J311" s="22"/>
      <c r="K311" s="22"/>
      <c r="L311" s="22"/>
      <c r="M311" s="22"/>
      <c r="N311" s="22"/>
    </row>
    <row r="312" spans="1:14">
      <c r="A312" t="s">
        <v>361</v>
      </c>
      <c r="C312" s="13">
        <v>7.9416000000000001E-7</v>
      </c>
      <c r="D312" t="s">
        <v>13</v>
      </c>
      <c r="E312" s="26" t="s">
        <v>83</v>
      </c>
      <c r="F312" s="22"/>
      <c r="G312" t="s">
        <v>350</v>
      </c>
      <c r="H312" s="22" t="s">
        <v>15</v>
      </c>
      <c r="I312" s="22" t="s">
        <v>343</v>
      </c>
      <c r="J312" s="22"/>
      <c r="K312" s="22"/>
      <c r="L312" s="22"/>
      <c r="M312" s="22"/>
      <c r="N312" s="22"/>
    </row>
    <row r="313" spans="1:14">
      <c r="A313" t="s">
        <v>362</v>
      </c>
      <c r="C313" s="13">
        <v>4.1393000000000003E-6</v>
      </c>
      <c r="D313" t="s">
        <v>13</v>
      </c>
      <c r="E313" s="26" t="s">
        <v>83</v>
      </c>
      <c r="F313" s="22"/>
      <c r="G313" t="s">
        <v>350</v>
      </c>
      <c r="H313" s="22" t="s">
        <v>15</v>
      </c>
      <c r="I313" s="22" t="s">
        <v>343</v>
      </c>
      <c r="J313" s="22"/>
      <c r="K313" s="22"/>
      <c r="L313" s="22"/>
      <c r="M313" s="22"/>
      <c r="N313" s="22"/>
    </row>
    <row r="314" spans="1:14">
      <c r="A314" t="s">
        <v>363</v>
      </c>
      <c r="C314" s="13">
        <v>5.0537999999999999E-8</v>
      </c>
      <c r="D314" t="s">
        <v>13</v>
      </c>
      <c r="E314" s="26" t="s">
        <v>83</v>
      </c>
      <c r="F314" s="22"/>
      <c r="G314" t="s">
        <v>350</v>
      </c>
      <c r="H314" s="22" t="s">
        <v>15</v>
      </c>
      <c r="I314" s="22" t="s">
        <v>343</v>
      </c>
      <c r="J314" s="22"/>
      <c r="K314" s="22"/>
      <c r="L314" s="22"/>
      <c r="M314" s="22"/>
      <c r="N314" s="22"/>
    </row>
    <row r="315" spans="1:14">
      <c r="A315" t="s">
        <v>364</v>
      </c>
      <c r="C315" s="13">
        <v>-5.9000999999999996E-6</v>
      </c>
      <c r="D315" t="s">
        <v>13</v>
      </c>
      <c r="E315" s="26" t="s">
        <v>83</v>
      </c>
      <c r="F315" s="22"/>
      <c r="G315" t="s">
        <v>350</v>
      </c>
      <c r="H315" s="22" t="s">
        <v>15</v>
      </c>
      <c r="I315" s="22" t="s">
        <v>343</v>
      </c>
      <c r="J315" s="22"/>
      <c r="K315" s="22"/>
      <c r="L315" s="22"/>
      <c r="M315" s="22"/>
      <c r="N315" s="22"/>
    </row>
    <row r="316" spans="1:14">
      <c r="A316" t="s">
        <v>365</v>
      </c>
      <c r="C316" s="13">
        <v>1.5643E-6</v>
      </c>
      <c r="D316" t="s">
        <v>13</v>
      </c>
      <c r="E316" s="26" t="s">
        <v>83</v>
      </c>
      <c r="F316" s="22"/>
      <c r="G316" t="s">
        <v>350</v>
      </c>
      <c r="H316" s="22" t="s">
        <v>15</v>
      </c>
      <c r="I316" s="22" t="s">
        <v>343</v>
      </c>
      <c r="J316" s="22"/>
      <c r="K316" s="22"/>
      <c r="L316" s="22"/>
      <c r="M316" s="22"/>
      <c r="N316" s="22"/>
    </row>
    <row r="317" spans="1:14">
      <c r="A317" t="s">
        <v>366</v>
      </c>
      <c r="C317" s="13">
        <v>2.6952999999999998E-6</v>
      </c>
      <c r="D317" t="s">
        <v>13</v>
      </c>
      <c r="E317" s="26" t="s">
        <v>83</v>
      </c>
      <c r="F317" s="22"/>
      <c r="G317" t="s">
        <v>350</v>
      </c>
      <c r="H317" s="22" t="s">
        <v>15</v>
      </c>
      <c r="I317" s="22" t="s">
        <v>343</v>
      </c>
      <c r="J317" s="22"/>
      <c r="K317" s="22"/>
      <c r="L317" s="22"/>
      <c r="M317" s="22"/>
      <c r="N317" s="22"/>
    </row>
    <row r="318" spans="1:14">
      <c r="A318" t="s">
        <v>367</v>
      </c>
      <c r="C318" s="13">
        <v>4.4454999999999997E-8</v>
      </c>
      <c r="D318" t="s">
        <v>13</v>
      </c>
      <c r="E318" s="26" t="s">
        <v>83</v>
      </c>
      <c r="F318" s="22"/>
      <c r="G318" t="s">
        <v>350</v>
      </c>
      <c r="H318" s="22" t="s">
        <v>15</v>
      </c>
      <c r="I318" s="22" t="s">
        <v>343</v>
      </c>
      <c r="J318" s="22"/>
      <c r="K318" s="22"/>
      <c r="L318" s="22"/>
      <c r="M318" s="22"/>
      <c r="N318" s="22"/>
    </row>
    <row r="319" spans="1:14">
      <c r="A319" t="s">
        <v>368</v>
      </c>
      <c r="C319" s="13">
        <v>3.6097999999999997E-8</v>
      </c>
      <c r="D319" t="s">
        <v>13</v>
      </c>
      <c r="E319" s="26" t="s">
        <v>83</v>
      </c>
      <c r="F319" s="22"/>
      <c r="G319" t="s">
        <v>350</v>
      </c>
      <c r="H319" s="22" t="s">
        <v>15</v>
      </c>
      <c r="I319" s="22" t="s">
        <v>343</v>
      </c>
      <c r="J319" s="22"/>
      <c r="K319" s="22"/>
      <c r="L319" s="22"/>
      <c r="M319" s="22"/>
      <c r="N319" s="22"/>
    </row>
    <row r="320" spans="1:14">
      <c r="A320" t="s">
        <v>369</v>
      </c>
      <c r="C320" s="13">
        <v>2.1659000000000001E-7</v>
      </c>
      <c r="D320" t="s">
        <v>13</v>
      </c>
      <c r="E320" s="26" t="s">
        <v>83</v>
      </c>
      <c r="F320" s="22"/>
      <c r="G320" t="s">
        <v>350</v>
      </c>
      <c r="H320" s="22" t="s">
        <v>15</v>
      </c>
      <c r="I320" s="22" t="s">
        <v>343</v>
      </c>
      <c r="J320" s="22"/>
      <c r="K320" s="22"/>
      <c r="L320" s="22"/>
      <c r="M320" s="22"/>
      <c r="N320" s="22"/>
    </row>
    <row r="321" spans="1:14">
      <c r="A321" t="s">
        <v>370</v>
      </c>
      <c r="C321" s="13">
        <v>-1.8835E-8</v>
      </c>
      <c r="D321" t="s">
        <v>13</v>
      </c>
      <c r="E321" s="26" t="s">
        <v>83</v>
      </c>
      <c r="F321" s="22"/>
      <c r="G321" t="s">
        <v>350</v>
      </c>
      <c r="H321" s="22" t="s">
        <v>15</v>
      </c>
      <c r="I321" s="22" t="s">
        <v>343</v>
      </c>
      <c r="J321" s="22"/>
      <c r="K321" s="22"/>
      <c r="L321" s="22"/>
      <c r="M321" s="22"/>
      <c r="N321" s="22"/>
    </row>
    <row r="322" spans="1:14">
      <c r="A322" t="s">
        <v>371</v>
      </c>
      <c r="C322" s="13">
        <v>4.2885E-5</v>
      </c>
      <c r="D322" t="s">
        <v>13</v>
      </c>
      <c r="E322" s="26" t="s">
        <v>83</v>
      </c>
      <c r="F322" s="22"/>
      <c r="G322" t="s">
        <v>350</v>
      </c>
      <c r="H322" s="22" t="s">
        <v>15</v>
      </c>
      <c r="I322" s="22" t="s">
        <v>343</v>
      </c>
      <c r="J322" s="22"/>
      <c r="K322" s="22"/>
      <c r="L322" s="22"/>
      <c r="M322" s="22"/>
      <c r="N322" s="22"/>
    </row>
    <row r="323" spans="1:14">
      <c r="A323" t="s">
        <v>372</v>
      </c>
      <c r="C323" s="13">
        <v>9.2460000000000006E-5</v>
      </c>
      <c r="D323" t="s">
        <v>13</v>
      </c>
      <c r="E323" s="26" t="s">
        <v>83</v>
      </c>
      <c r="F323" s="22"/>
      <c r="G323" t="s">
        <v>350</v>
      </c>
      <c r="H323" s="22" t="s">
        <v>15</v>
      </c>
      <c r="I323" s="22" t="s">
        <v>343</v>
      </c>
      <c r="J323" s="22"/>
      <c r="K323" s="22"/>
      <c r="L323" s="22"/>
      <c r="M323" s="22"/>
      <c r="N323" s="22"/>
    </row>
    <row r="324" spans="1:14">
      <c r="A324" t="s">
        <v>373</v>
      </c>
      <c r="C324" s="13">
        <v>5.0297000000000003E-6</v>
      </c>
      <c r="D324" t="s">
        <v>13</v>
      </c>
      <c r="E324" s="26" t="s">
        <v>83</v>
      </c>
      <c r="F324" s="22"/>
      <c r="G324" t="s">
        <v>350</v>
      </c>
      <c r="H324" s="22" t="s">
        <v>15</v>
      </c>
      <c r="I324" s="22" t="s">
        <v>343</v>
      </c>
      <c r="J324" s="22"/>
      <c r="K324" s="22"/>
      <c r="L324" s="22"/>
      <c r="M324" s="22"/>
      <c r="N324" s="22"/>
    </row>
    <row r="325" spans="1:14">
      <c r="A325" t="s">
        <v>374</v>
      </c>
      <c r="C325" s="13">
        <v>2.4306000000000001E-6</v>
      </c>
      <c r="D325" t="s">
        <v>13</v>
      </c>
      <c r="E325" s="26" t="s">
        <v>83</v>
      </c>
      <c r="F325" s="22"/>
      <c r="G325" t="s">
        <v>350</v>
      </c>
      <c r="H325" s="22" t="s">
        <v>15</v>
      </c>
      <c r="I325" s="22" t="s">
        <v>343</v>
      </c>
      <c r="J325" s="22"/>
      <c r="K325" s="22"/>
      <c r="L325" s="22"/>
      <c r="M325" s="22"/>
      <c r="N325" s="22"/>
    </row>
    <row r="326" spans="1:14">
      <c r="A326" t="s">
        <v>375</v>
      </c>
      <c r="C326" s="13">
        <v>1.7326999999999999E-6</v>
      </c>
      <c r="D326" t="s">
        <v>13</v>
      </c>
      <c r="E326" s="26" t="s">
        <v>83</v>
      </c>
      <c r="F326" s="22"/>
      <c r="G326" t="s">
        <v>350</v>
      </c>
      <c r="H326" s="22" t="s">
        <v>15</v>
      </c>
      <c r="I326" s="22" t="s">
        <v>343</v>
      </c>
      <c r="J326" s="22"/>
      <c r="K326" s="22"/>
      <c r="L326" s="22"/>
      <c r="M326" s="22"/>
      <c r="N326" s="22"/>
    </row>
    <row r="327" spans="1:14">
      <c r="A327" t="s">
        <v>376</v>
      </c>
      <c r="C327" s="13">
        <v>2.8878999999999998E-7</v>
      </c>
      <c r="D327" t="s">
        <v>13</v>
      </c>
      <c r="E327" s="26" t="s">
        <v>83</v>
      </c>
      <c r="F327" s="22"/>
      <c r="G327" t="s">
        <v>350</v>
      </c>
      <c r="H327" s="22" t="s">
        <v>15</v>
      </c>
      <c r="I327" s="22" t="s">
        <v>343</v>
      </c>
      <c r="J327" s="22"/>
      <c r="K327" s="22"/>
      <c r="L327" s="22"/>
      <c r="M327" s="22"/>
      <c r="N327" s="22"/>
    </row>
    <row r="328" spans="1:14">
      <c r="A328" t="s">
        <v>377</v>
      </c>
      <c r="C328" s="13">
        <v>1.9661999999999999E-5</v>
      </c>
      <c r="D328" t="s">
        <v>13</v>
      </c>
      <c r="E328" s="26" t="s">
        <v>83</v>
      </c>
      <c r="F328" s="22"/>
      <c r="G328" t="s">
        <v>350</v>
      </c>
      <c r="H328" s="22" t="s">
        <v>15</v>
      </c>
      <c r="I328" s="22" t="s">
        <v>343</v>
      </c>
      <c r="J328" s="22"/>
      <c r="K328" s="22"/>
      <c r="L328" s="22"/>
      <c r="M328" s="22"/>
      <c r="N328" s="22"/>
    </row>
    <row r="329" spans="1:14">
      <c r="A329" t="s">
        <v>378</v>
      </c>
      <c r="C329" s="13">
        <v>1.1911999999999999E-6</v>
      </c>
      <c r="D329" t="s">
        <v>13</v>
      </c>
      <c r="E329" s="26" t="s">
        <v>83</v>
      </c>
      <c r="F329" s="22"/>
      <c r="G329" t="s">
        <v>350</v>
      </c>
      <c r="H329" s="22" t="s">
        <v>15</v>
      </c>
      <c r="I329" s="22" t="s">
        <v>343</v>
      </c>
      <c r="J329" s="22"/>
      <c r="K329" s="22"/>
      <c r="L329" s="22"/>
      <c r="M329" s="22"/>
      <c r="N329" s="22"/>
    </row>
    <row r="330" spans="1:14">
      <c r="A330" t="s">
        <v>379</v>
      </c>
      <c r="C330" s="13">
        <v>1.9252000000000001E-7</v>
      </c>
      <c r="D330" t="s">
        <v>13</v>
      </c>
      <c r="E330" s="26" t="s">
        <v>83</v>
      </c>
      <c r="F330" s="22"/>
      <c r="G330" t="s">
        <v>350</v>
      </c>
      <c r="H330" s="22" t="s">
        <v>15</v>
      </c>
      <c r="I330" s="22" t="s">
        <v>343</v>
      </c>
      <c r="J330" s="22"/>
      <c r="K330" s="22"/>
      <c r="L330" s="22"/>
      <c r="M330" s="22"/>
      <c r="N330" s="22"/>
    </row>
    <row r="331" spans="1:14">
      <c r="A331" t="s">
        <v>380</v>
      </c>
      <c r="C331" s="13">
        <v>3.0442999999999998E-6</v>
      </c>
      <c r="D331" t="s">
        <v>13</v>
      </c>
      <c r="E331" s="26" t="s">
        <v>83</v>
      </c>
      <c r="F331" s="22"/>
      <c r="G331" t="s">
        <v>350</v>
      </c>
      <c r="H331" s="22" t="s">
        <v>15</v>
      </c>
      <c r="I331" s="22" t="s">
        <v>343</v>
      </c>
      <c r="J331" s="22"/>
      <c r="K331" s="22"/>
      <c r="L331" s="22"/>
      <c r="M331" s="22"/>
      <c r="N331" s="22"/>
    </row>
    <row r="332" spans="1:14">
      <c r="A332" t="s">
        <v>381</v>
      </c>
      <c r="C332" s="13">
        <v>4.8130999999999997E-6</v>
      </c>
      <c r="D332" t="s">
        <v>13</v>
      </c>
      <c r="E332" s="26" t="s">
        <v>83</v>
      </c>
      <c r="F332" s="22"/>
      <c r="G332" t="s">
        <v>350</v>
      </c>
      <c r="H332" s="22" t="s">
        <v>15</v>
      </c>
      <c r="I332" s="22" t="s">
        <v>343</v>
      </c>
      <c r="J332" s="22"/>
      <c r="K332" s="22"/>
      <c r="L332" s="22"/>
      <c r="M332" s="22"/>
      <c r="N332" s="22"/>
    </row>
    <row r="333" spans="1:14">
      <c r="A333" t="s">
        <v>382</v>
      </c>
      <c r="C333" s="13">
        <v>5.9441999999999998E-5</v>
      </c>
      <c r="D333" t="s">
        <v>13</v>
      </c>
      <c r="E333" s="26" t="s">
        <v>83</v>
      </c>
      <c r="F333" s="22"/>
      <c r="G333" t="s">
        <v>350</v>
      </c>
      <c r="H333" s="22" t="s">
        <v>15</v>
      </c>
      <c r="I333" s="22" t="s">
        <v>343</v>
      </c>
      <c r="J333" s="22"/>
      <c r="K333" s="22"/>
      <c r="L333" s="22"/>
      <c r="M333" s="22"/>
      <c r="N333" s="22"/>
    </row>
    <row r="334" spans="1:14">
      <c r="A334" t="s">
        <v>383</v>
      </c>
      <c r="C334" s="13">
        <v>3.3691999999999998E-7</v>
      </c>
      <c r="D334" t="s">
        <v>13</v>
      </c>
      <c r="E334" s="26" t="s">
        <v>83</v>
      </c>
      <c r="F334" s="22"/>
      <c r="G334" t="s">
        <v>350</v>
      </c>
      <c r="H334" s="22" t="s">
        <v>15</v>
      </c>
      <c r="I334" s="22" t="s">
        <v>343</v>
      </c>
      <c r="J334" s="22"/>
      <c r="K334" s="22"/>
      <c r="L334" s="22"/>
      <c r="M334" s="22"/>
      <c r="N334" s="22"/>
    </row>
    <row r="335" spans="1:14">
      <c r="A335" t="s">
        <v>384</v>
      </c>
      <c r="C335" s="13">
        <v>1.6846000000000001E-8</v>
      </c>
      <c r="D335" t="s">
        <v>13</v>
      </c>
      <c r="E335" s="26" t="s">
        <v>83</v>
      </c>
      <c r="F335" s="22"/>
      <c r="G335" t="s">
        <v>350</v>
      </c>
      <c r="H335" s="22" t="s">
        <v>15</v>
      </c>
      <c r="I335" s="22" t="s">
        <v>343</v>
      </c>
      <c r="J335" s="22"/>
      <c r="K335" s="22"/>
      <c r="L335" s="22"/>
      <c r="M335" s="22"/>
      <c r="N335" s="22"/>
    </row>
    <row r="336" spans="1:14">
      <c r="A336" t="s">
        <v>385</v>
      </c>
      <c r="C336" s="13">
        <v>5.7757E-7</v>
      </c>
      <c r="D336" t="s">
        <v>13</v>
      </c>
      <c r="E336" s="26" t="s">
        <v>83</v>
      </c>
      <c r="F336" s="22"/>
      <c r="G336" t="s">
        <v>350</v>
      </c>
      <c r="H336" s="22" t="s">
        <v>15</v>
      </c>
      <c r="I336" s="22" t="s">
        <v>343</v>
      </c>
      <c r="J336" s="22"/>
      <c r="K336" s="22"/>
      <c r="L336" s="22"/>
      <c r="M336" s="22"/>
      <c r="N336" s="22"/>
    </row>
    <row r="337" spans="1:34">
      <c r="A337" t="s">
        <v>386</v>
      </c>
      <c r="C337" s="13">
        <v>2.1658999999999999E-8</v>
      </c>
      <c r="D337" t="s">
        <v>13</v>
      </c>
      <c r="E337" s="26" t="s">
        <v>83</v>
      </c>
      <c r="F337" s="22"/>
      <c r="G337" t="s">
        <v>350</v>
      </c>
      <c r="H337" s="22" t="s">
        <v>15</v>
      </c>
      <c r="I337" s="22" t="s">
        <v>343</v>
      </c>
      <c r="J337" s="22"/>
      <c r="K337" s="22"/>
      <c r="L337" s="22"/>
      <c r="M337" s="22"/>
      <c r="N337" s="22"/>
    </row>
    <row r="338" spans="1:34">
      <c r="A338" t="s">
        <v>387</v>
      </c>
      <c r="C338" s="13">
        <v>3.6097999999999997E-8</v>
      </c>
      <c r="D338" t="s">
        <v>13</v>
      </c>
      <c r="E338" s="26" t="s">
        <v>83</v>
      </c>
      <c r="F338" s="22"/>
      <c r="G338" t="s">
        <v>350</v>
      </c>
      <c r="H338" s="22" t="s">
        <v>15</v>
      </c>
      <c r="I338" s="22" t="s">
        <v>343</v>
      </c>
      <c r="J338" s="22"/>
      <c r="K338" s="22"/>
      <c r="L338" s="22"/>
      <c r="M338" s="22"/>
      <c r="N338" s="22"/>
    </row>
    <row r="339" spans="1:34">
      <c r="A339" t="s">
        <v>388</v>
      </c>
      <c r="C339" s="13">
        <v>2.6472E-7</v>
      </c>
      <c r="D339" t="s">
        <v>13</v>
      </c>
      <c r="E339" s="26" t="s">
        <v>83</v>
      </c>
      <c r="F339" s="22"/>
      <c r="G339" t="s">
        <v>350</v>
      </c>
      <c r="H339" s="22" t="s">
        <v>15</v>
      </c>
      <c r="I339" s="22" t="s">
        <v>343</v>
      </c>
      <c r="J339" s="22"/>
      <c r="K339" s="22"/>
      <c r="L339" s="22"/>
      <c r="M339" s="22"/>
      <c r="N339" s="22"/>
    </row>
    <row r="340" spans="1:34">
      <c r="A340" t="s">
        <v>389</v>
      </c>
      <c r="C340" s="13">
        <v>1.2032999999999999E-7</v>
      </c>
      <c r="D340" t="s">
        <v>13</v>
      </c>
      <c r="E340" s="26" t="s">
        <v>83</v>
      </c>
      <c r="F340" s="22"/>
      <c r="G340" t="s">
        <v>350</v>
      </c>
      <c r="H340" s="22" t="s">
        <v>15</v>
      </c>
      <c r="I340" s="22" t="s">
        <v>343</v>
      </c>
      <c r="J340" s="22"/>
      <c r="K340" s="22"/>
      <c r="L340" s="22"/>
      <c r="M340" s="22"/>
      <c r="N340" s="22"/>
    </row>
    <row r="341" spans="1:34">
      <c r="A341" t="s">
        <v>390</v>
      </c>
      <c r="C341" s="13">
        <v>2.6436999999999998E-7</v>
      </c>
      <c r="D341" t="s">
        <v>13</v>
      </c>
      <c r="E341" s="26" t="s">
        <v>83</v>
      </c>
      <c r="F341" s="22"/>
      <c r="G341" t="s">
        <v>350</v>
      </c>
      <c r="H341" s="22" t="s">
        <v>15</v>
      </c>
      <c r="I341" s="22" t="s">
        <v>343</v>
      </c>
      <c r="J341" s="22"/>
      <c r="K341" s="22"/>
      <c r="L341" s="22"/>
      <c r="M341" s="22"/>
      <c r="N341" s="22"/>
    </row>
    <row r="342" spans="1:34">
      <c r="A342" t="s">
        <v>93</v>
      </c>
      <c r="C342" s="13">
        <v>5.9736877488796199E-2</v>
      </c>
      <c r="D342" t="s">
        <v>91</v>
      </c>
      <c r="E342" s="26" t="s">
        <v>83</v>
      </c>
      <c r="F342" s="22"/>
      <c r="G342" t="s">
        <v>167</v>
      </c>
      <c r="H342" s="22" t="s">
        <v>15</v>
      </c>
      <c r="I342" s="22" t="s">
        <v>343</v>
      </c>
      <c r="J342" s="22"/>
      <c r="K342" s="22"/>
      <c r="L342" s="22"/>
      <c r="M342" s="22"/>
      <c r="N342" s="22"/>
    </row>
    <row r="343" spans="1:34">
      <c r="A343" t="s">
        <v>166</v>
      </c>
      <c r="C343" s="13">
        <v>1.1639108E-2</v>
      </c>
      <c r="D343" t="s">
        <v>13</v>
      </c>
      <c r="E343" s="26" t="s">
        <v>83</v>
      </c>
      <c r="F343" s="22"/>
      <c r="G343" t="s">
        <v>167</v>
      </c>
      <c r="H343" s="22" t="s">
        <v>15</v>
      </c>
      <c r="I343" s="22" t="s">
        <v>343</v>
      </c>
      <c r="J343" s="22"/>
      <c r="K343" s="22"/>
      <c r="L343" s="22"/>
      <c r="M343" s="22"/>
      <c r="N343" s="22"/>
    </row>
    <row r="344" spans="1:34">
      <c r="A344" t="s">
        <v>93</v>
      </c>
      <c r="C344" s="13">
        <v>1.4934219372198999E-2</v>
      </c>
      <c r="D344" t="s">
        <v>91</v>
      </c>
      <c r="E344" s="26" t="s">
        <v>83</v>
      </c>
      <c r="F344" s="22"/>
      <c r="G344" t="s">
        <v>208</v>
      </c>
      <c r="H344" s="22" t="s">
        <v>15</v>
      </c>
      <c r="I344" s="22" t="s">
        <v>343</v>
      </c>
      <c r="J344" s="22"/>
      <c r="K344" s="22"/>
      <c r="L344" s="22"/>
      <c r="M344" s="22"/>
      <c r="N344" s="22"/>
    </row>
    <row r="345" spans="1:34">
      <c r="A345" t="s">
        <v>391</v>
      </c>
      <c r="C345" s="13">
        <v>9.7541999999999995E-5</v>
      </c>
      <c r="D345" t="s">
        <v>13</v>
      </c>
      <c r="E345" s="26" t="s">
        <v>83</v>
      </c>
      <c r="F345" s="22"/>
      <c r="G345" t="s">
        <v>208</v>
      </c>
      <c r="H345" s="22" t="s">
        <v>15</v>
      </c>
      <c r="I345" t="s">
        <v>343</v>
      </c>
      <c r="J345" s="22"/>
      <c r="K345" s="22"/>
      <c r="L345" s="22"/>
      <c r="M345" s="22"/>
      <c r="N345" s="22"/>
    </row>
    <row r="346" spans="1:34">
      <c r="A346" t="s">
        <v>392</v>
      </c>
      <c r="C346" s="13">
        <v>7.5147999999999996E-6</v>
      </c>
      <c r="D346" t="s">
        <v>13</v>
      </c>
      <c r="E346" s="26"/>
      <c r="F346" s="22"/>
      <c r="G346" t="s">
        <v>208</v>
      </c>
      <c r="H346" s="22" t="s">
        <v>15</v>
      </c>
      <c r="I346" t="s">
        <v>343</v>
      </c>
      <c r="J346" s="22"/>
      <c r="K346" s="22"/>
      <c r="L346" s="22"/>
      <c r="M346" s="22"/>
      <c r="N346" s="22"/>
    </row>
    <row r="347" spans="1:34">
      <c r="A347" t="s">
        <v>393</v>
      </c>
      <c r="C347" s="13">
        <v>0</v>
      </c>
      <c r="D347" t="s">
        <v>91</v>
      </c>
      <c r="E347" s="26"/>
      <c r="F347" s="22"/>
      <c r="G347" t="s">
        <v>92</v>
      </c>
      <c r="H347" s="22" t="s">
        <v>15</v>
      </c>
      <c r="I347" t="s">
        <v>533</v>
      </c>
      <c r="J347" s="22"/>
      <c r="K347" s="22"/>
      <c r="L347" s="22"/>
      <c r="M347" s="22"/>
      <c r="N347" s="22"/>
    </row>
    <row r="348" spans="1:34" s="49" customFormat="1">
      <c r="A348" s="47"/>
      <c r="B348" s="47"/>
      <c r="C348" s="48"/>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row>
    <row r="349" spans="1:34">
      <c r="A349" s="24" t="s">
        <v>1</v>
      </c>
      <c r="B349" s="24" t="s">
        <v>151</v>
      </c>
      <c r="C349" s="25"/>
      <c r="D349" s="26"/>
      <c r="E349" s="26"/>
      <c r="F349" s="26"/>
      <c r="G349" s="26"/>
      <c r="H349" s="26"/>
      <c r="I349" s="26"/>
    </row>
    <row r="350" spans="1:34">
      <c r="A350" s="24" t="s">
        <v>11</v>
      </c>
      <c r="B350" s="26" t="s">
        <v>262</v>
      </c>
      <c r="C350" s="25"/>
      <c r="D350" s="26"/>
      <c r="E350" s="26"/>
      <c r="F350" s="26"/>
      <c r="G350" s="26"/>
      <c r="H350" s="26"/>
      <c r="I350" s="26"/>
    </row>
    <row r="351" spans="1:34">
      <c r="A351" s="24" t="s">
        <v>2</v>
      </c>
      <c r="B351" s="26" t="s">
        <v>28</v>
      </c>
      <c r="C351" s="25"/>
      <c r="D351" s="26"/>
      <c r="E351" s="26"/>
      <c r="F351" s="26"/>
      <c r="G351" s="26"/>
      <c r="H351" s="26"/>
      <c r="I351" s="26"/>
    </row>
    <row r="352" spans="1:34">
      <c r="A352" s="27" t="s">
        <v>4</v>
      </c>
      <c r="B352" s="31" t="s">
        <v>152</v>
      </c>
      <c r="C352" s="25"/>
      <c r="D352" s="26"/>
      <c r="E352" s="26"/>
      <c r="F352" s="26"/>
      <c r="G352" s="26"/>
      <c r="H352" s="26"/>
      <c r="I352" s="26"/>
    </row>
    <row r="353" spans="1:34">
      <c r="A353" s="24" t="s">
        <v>3</v>
      </c>
      <c r="B353" s="28">
        <v>1</v>
      </c>
      <c r="C353" s="25"/>
      <c r="D353" s="29"/>
      <c r="E353" s="26"/>
      <c r="F353" s="26"/>
      <c r="G353" s="26"/>
      <c r="H353" s="26"/>
      <c r="I353" s="26"/>
    </row>
    <row r="354" spans="1:34">
      <c r="A354" s="24" t="s">
        <v>6</v>
      </c>
      <c r="B354" s="26" t="s">
        <v>13</v>
      </c>
      <c r="C354" s="25"/>
      <c r="D354" s="29"/>
      <c r="E354" s="26"/>
      <c r="F354" s="26"/>
      <c r="G354" s="26"/>
      <c r="H354" s="26"/>
      <c r="I354" s="26"/>
    </row>
    <row r="355" spans="1:34">
      <c r="A355" s="24" t="s">
        <v>57</v>
      </c>
      <c r="B355" s="26"/>
      <c r="C355" s="25"/>
      <c r="E355" s="26"/>
      <c r="F355" s="26"/>
      <c r="G355" s="26"/>
      <c r="H355" s="26"/>
      <c r="I355" s="26"/>
    </row>
    <row r="356" spans="1:34">
      <c r="A356" s="24" t="s">
        <v>7</v>
      </c>
      <c r="B356" s="26"/>
      <c r="C356" s="25"/>
      <c r="D356" s="26"/>
      <c r="E356" s="26"/>
      <c r="F356" s="26"/>
      <c r="G356" s="26"/>
      <c r="H356" s="26"/>
      <c r="I356" s="26"/>
    </row>
    <row r="357" spans="1:34">
      <c r="A357" s="24" t="s">
        <v>8</v>
      </c>
      <c r="B357" s="24" t="s">
        <v>4</v>
      </c>
      <c r="C357" s="30" t="s">
        <v>9</v>
      </c>
      <c r="D357" s="24" t="s">
        <v>6</v>
      </c>
      <c r="E357" s="24" t="s">
        <v>81</v>
      </c>
      <c r="F357" s="24" t="s">
        <v>10</v>
      </c>
      <c r="G357" s="24" t="s">
        <v>2</v>
      </c>
      <c r="H357" s="24" t="s">
        <v>5</v>
      </c>
      <c r="I357" s="24" t="s">
        <v>11</v>
      </c>
    </row>
    <row r="358" spans="1:34">
      <c r="A358" s="31" t="s">
        <v>151</v>
      </c>
      <c r="B358" s="31" t="s">
        <v>152</v>
      </c>
      <c r="C358" s="32">
        <v>1</v>
      </c>
      <c r="D358" s="26" t="s">
        <v>13</v>
      </c>
      <c r="E358" s="31"/>
      <c r="F358" s="31"/>
      <c r="G358" s="31" t="s">
        <v>28</v>
      </c>
      <c r="H358" s="31" t="s">
        <v>18</v>
      </c>
      <c r="I358" s="31"/>
    </row>
    <row r="359" spans="1:34">
      <c r="A359" s="31" t="s">
        <v>156</v>
      </c>
      <c r="B359" s="31" t="s">
        <v>157</v>
      </c>
      <c r="C359" s="32">
        <v>0.01</v>
      </c>
      <c r="D359" s="26" t="s">
        <v>158</v>
      </c>
      <c r="E359" s="31" t="s">
        <v>131</v>
      </c>
      <c r="F359" s="31"/>
      <c r="G359" s="31" t="s">
        <v>36</v>
      </c>
      <c r="H359" s="31" t="s">
        <v>12</v>
      </c>
      <c r="I359" s="31" t="s">
        <v>209</v>
      </c>
    </row>
    <row r="360" spans="1:34">
      <c r="A360" s="31" t="s">
        <v>395</v>
      </c>
      <c r="B360" s="22" t="s">
        <v>394</v>
      </c>
      <c r="C360" s="32">
        <v>1</v>
      </c>
      <c r="D360" s="26" t="s">
        <v>13</v>
      </c>
      <c r="E360" s="31"/>
      <c r="F360" s="31"/>
      <c r="G360" s="22" t="s">
        <v>28</v>
      </c>
      <c r="H360" s="31" t="s">
        <v>12</v>
      </c>
      <c r="I360" s="31"/>
    </row>
    <row r="361" spans="1:34">
      <c r="A361" s="31" t="s">
        <v>34</v>
      </c>
      <c r="B361" s="31" t="s">
        <v>33</v>
      </c>
      <c r="C361" s="32">
        <v>3.7599999999999999E-3</v>
      </c>
      <c r="D361" s="26" t="s">
        <v>19</v>
      </c>
      <c r="E361" s="31" t="s">
        <v>131</v>
      </c>
      <c r="F361" s="31"/>
      <c r="G361" s="31" t="s">
        <v>28</v>
      </c>
      <c r="H361" s="31" t="s">
        <v>12</v>
      </c>
      <c r="I361" s="31" t="s">
        <v>205</v>
      </c>
    </row>
    <row r="362" spans="1:34">
      <c r="A362" s="31" t="s">
        <v>204</v>
      </c>
      <c r="B362" s="31" t="s">
        <v>203</v>
      </c>
      <c r="C362" s="32">
        <v>8.4999999999999995E-4</v>
      </c>
      <c r="D362" s="26" t="s">
        <v>13</v>
      </c>
      <c r="E362" s="31" t="s">
        <v>131</v>
      </c>
      <c r="F362" s="31"/>
      <c r="G362" s="31" t="s">
        <v>36</v>
      </c>
      <c r="H362" s="31" t="s">
        <v>12</v>
      </c>
      <c r="I362" s="31" t="s">
        <v>205</v>
      </c>
    </row>
    <row r="363" spans="1:34" s="49" customFormat="1">
      <c r="A363" s="47"/>
      <c r="B363" s="47"/>
      <c r="C363" s="48"/>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row>
    <row r="364" spans="1:34">
      <c r="A364" s="24" t="s">
        <v>1</v>
      </c>
      <c r="B364" s="24" t="s">
        <v>154</v>
      </c>
      <c r="C364" s="25"/>
      <c r="D364" s="26"/>
      <c r="E364" s="26"/>
      <c r="F364" s="26"/>
      <c r="G364" s="26"/>
      <c r="H364" s="26"/>
      <c r="I364" s="26"/>
    </row>
    <row r="365" spans="1:34">
      <c r="A365" s="24" t="s">
        <v>11</v>
      </c>
      <c r="B365" s="26" t="s">
        <v>263</v>
      </c>
      <c r="C365" s="25"/>
      <c r="D365" s="26"/>
      <c r="E365" s="26"/>
      <c r="F365" s="26"/>
      <c r="G365" s="26"/>
      <c r="H365" s="26"/>
      <c r="I365" s="26"/>
    </row>
    <row r="366" spans="1:34">
      <c r="A366" s="24" t="s">
        <v>2</v>
      </c>
      <c r="B366" s="26" t="s">
        <v>28</v>
      </c>
      <c r="C366" s="25"/>
      <c r="D366" s="26"/>
      <c r="E366" s="26"/>
      <c r="F366" s="26"/>
      <c r="G366" s="26"/>
      <c r="H366" s="26"/>
      <c r="I366" s="26"/>
    </row>
    <row r="367" spans="1:34">
      <c r="A367" s="27" t="s">
        <v>4</v>
      </c>
      <c r="B367" s="26" t="s">
        <v>155</v>
      </c>
      <c r="C367" s="25"/>
      <c r="D367" s="26"/>
      <c r="E367" s="26"/>
      <c r="F367" s="26"/>
      <c r="G367" s="26"/>
      <c r="H367" s="26"/>
      <c r="I367" s="26"/>
    </row>
    <row r="368" spans="1:34">
      <c r="A368" s="24" t="s">
        <v>3</v>
      </c>
      <c r="B368" s="28">
        <v>1</v>
      </c>
      <c r="C368" s="25"/>
      <c r="D368" s="29"/>
      <c r="E368" s="26"/>
      <c r="F368" s="26"/>
      <c r="G368" s="26"/>
      <c r="H368" s="26"/>
      <c r="I368" s="26"/>
    </row>
    <row r="369" spans="1:34">
      <c r="A369" s="24" t="s">
        <v>6</v>
      </c>
      <c r="B369" s="26" t="s">
        <v>13</v>
      </c>
      <c r="C369" s="25"/>
      <c r="D369" s="29"/>
      <c r="E369" s="26"/>
      <c r="F369" s="26"/>
      <c r="G369" s="26"/>
      <c r="H369" s="26"/>
      <c r="I369" s="26"/>
    </row>
    <row r="370" spans="1:34">
      <c r="A370" s="24" t="s">
        <v>57</v>
      </c>
      <c r="B370" s="26"/>
      <c r="C370" s="25"/>
      <c r="D370" s="29"/>
      <c r="E370" s="26"/>
      <c r="F370" s="26"/>
      <c r="G370" s="26"/>
      <c r="H370" s="26"/>
      <c r="I370" s="26"/>
    </row>
    <row r="371" spans="1:34">
      <c r="A371" s="24" t="s">
        <v>7</v>
      </c>
      <c r="B371" s="26"/>
      <c r="C371" s="25"/>
      <c r="D371" s="26"/>
      <c r="E371" s="26"/>
      <c r="F371" s="26"/>
      <c r="G371" s="26"/>
      <c r="H371" s="26"/>
      <c r="I371" s="26"/>
    </row>
    <row r="372" spans="1:34">
      <c r="A372" s="24" t="s">
        <v>8</v>
      </c>
      <c r="B372" s="24" t="s">
        <v>4</v>
      </c>
      <c r="C372" s="30" t="s">
        <v>9</v>
      </c>
      <c r="D372" s="24" t="s">
        <v>6</v>
      </c>
      <c r="E372" s="24" t="s">
        <v>81</v>
      </c>
      <c r="F372" s="24" t="s">
        <v>10</v>
      </c>
      <c r="G372" s="24" t="s">
        <v>2</v>
      </c>
      <c r="H372" s="24" t="s">
        <v>5</v>
      </c>
      <c r="I372" s="24" t="s">
        <v>11</v>
      </c>
    </row>
    <row r="373" spans="1:34">
      <c r="A373" s="31" t="s">
        <v>154</v>
      </c>
      <c r="B373" s="31" t="s">
        <v>159</v>
      </c>
      <c r="C373" s="32">
        <v>1</v>
      </c>
      <c r="D373" s="26" t="s">
        <v>13</v>
      </c>
      <c r="E373" s="31" t="s">
        <v>122</v>
      </c>
      <c r="F373" s="31"/>
      <c r="G373" s="31" t="s">
        <v>28</v>
      </c>
      <c r="H373" s="31" t="s">
        <v>18</v>
      </c>
      <c r="I373" s="31"/>
    </row>
    <row r="374" spans="1:34">
      <c r="A374" s="31" t="s">
        <v>156</v>
      </c>
      <c r="B374" s="31" t="s">
        <v>157</v>
      </c>
      <c r="C374" s="32">
        <v>0.01</v>
      </c>
      <c r="D374" s="26" t="s">
        <v>158</v>
      </c>
      <c r="E374" s="31" t="s">
        <v>131</v>
      </c>
      <c r="F374" s="31"/>
      <c r="G374" s="31" t="s">
        <v>36</v>
      </c>
      <c r="H374" s="31" t="s">
        <v>12</v>
      </c>
      <c r="I374" s="31" t="s">
        <v>209</v>
      </c>
    </row>
    <row r="375" spans="1:34">
      <c r="A375" s="31" t="s">
        <v>34</v>
      </c>
      <c r="B375" s="31" t="s">
        <v>33</v>
      </c>
      <c r="C375" s="32">
        <v>3.7599999999999999E-3</v>
      </c>
      <c r="D375" s="26" t="s">
        <v>19</v>
      </c>
      <c r="E375" s="31" t="s">
        <v>131</v>
      </c>
      <c r="F375" s="31"/>
      <c r="G375" s="31" t="s">
        <v>28</v>
      </c>
      <c r="H375" s="31" t="s">
        <v>12</v>
      </c>
      <c r="I375" s="31" t="s">
        <v>205</v>
      </c>
    </row>
    <row r="376" spans="1:34">
      <c r="A376" s="31" t="s">
        <v>204</v>
      </c>
      <c r="B376" s="31" t="s">
        <v>203</v>
      </c>
      <c r="C376" s="32">
        <v>8.4999999999999995E-4</v>
      </c>
      <c r="D376" s="26" t="s">
        <v>13</v>
      </c>
      <c r="E376" s="31" t="s">
        <v>131</v>
      </c>
      <c r="F376" s="31"/>
      <c r="G376" s="31" t="s">
        <v>36</v>
      </c>
      <c r="H376" s="31" t="s">
        <v>12</v>
      </c>
      <c r="I376" s="31" t="s">
        <v>205</v>
      </c>
    </row>
    <row r="377" spans="1:34" s="49" customFormat="1">
      <c r="A377" s="47"/>
      <c r="B377" s="47"/>
      <c r="C377" s="48"/>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row>
    <row r="378" spans="1:34">
      <c r="A378" s="24" t="s">
        <v>1</v>
      </c>
      <c r="B378" s="24" t="s">
        <v>128</v>
      </c>
      <c r="C378" s="25"/>
      <c r="D378" s="26"/>
      <c r="E378" s="26"/>
      <c r="F378" s="26"/>
      <c r="G378" s="26"/>
      <c r="H378" s="26"/>
      <c r="I378" s="26"/>
    </row>
    <row r="379" spans="1:34">
      <c r="A379" s="24" t="s">
        <v>11</v>
      </c>
      <c r="B379" s="26" t="s">
        <v>264</v>
      </c>
      <c r="C379" s="25"/>
      <c r="D379" s="26"/>
      <c r="E379" s="26"/>
      <c r="F379" s="26"/>
      <c r="G379" s="26"/>
      <c r="H379" s="26"/>
      <c r="I379" s="26"/>
    </row>
    <row r="380" spans="1:34">
      <c r="A380" s="24" t="s">
        <v>2</v>
      </c>
      <c r="B380" s="26" t="s">
        <v>28</v>
      </c>
      <c r="C380" s="25"/>
      <c r="D380" s="26"/>
      <c r="E380" s="26"/>
      <c r="F380" s="26"/>
      <c r="G380" s="26"/>
      <c r="H380" s="26"/>
      <c r="I380" s="26"/>
    </row>
    <row r="381" spans="1:34">
      <c r="A381" s="27" t="s">
        <v>4</v>
      </c>
      <c r="B381" s="26" t="s">
        <v>129</v>
      </c>
      <c r="C381" s="25"/>
      <c r="D381" s="26"/>
      <c r="E381" s="26"/>
      <c r="F381" s="26"/>
      <c r="G381" s="26"/>
      <c r="H381" s="26"/>
      <c r="I381" s="26"/>
    </row>
    <row r="382" spans="1:34">
      <c r="A382" s="24" t="s">
        <v>3</v>
      </c>
      <c r="B382" s="28">
        <v>1</v>
      </c>
      <c r="C382" s="25"/>
      <c r="D382" s="29"/>
      <c r="E382" s="26"/>
      <c r="F382" s="26"/>
      <c r="G382" s="26"/>
      <c r="H382" s="26"/>
      <c r="I382" s="26"/>
    </row>
    <row r="383" spans="1:34">
      <c r="A383" s="24" t="s">
        <v>6</v>
      </c>
      <c r="B383" s="26" t="s">
        <v>13</v>
      </c>
      <c r="C383" s="25"/>
      <c r="D383" s="29"/>
      <c r="E383" s="26"/>
      <c r="F383" s="26"/>
      <c r="G383" s="26"/>
      <c r="H383" s="26"/>
      <c r="I383" s="26"/>
    </row>
    <row r="384" spans="1:34">
      <c r="A384" s="24" t="s">
        <v>57</v>
      </c>
      <c r="B384" s="26" t="s">
        <v>207</v>
      </c>
      <c r="C384" s="25"/>
      <c r="D384" s="29"/>
      <c r="E384" s="26"/>
      <c r="F384" s="26"/>
      <c r="G384" s="26"/>
      <c r="H384" s="26"/>
      <c r="I384" s="26"/>
    </row>
    <row r="385" spans="1:34">
      <c r="A385" s="24" t="s">
        <v>7</v>
      </c>
      <c r="B385" s="26"/>
      <c r="C385" s="25"/>
      <c r="D385" s="26"/>
      <c r="E385" s="26"/>
      <c r="F385" s="26"/>
      <c r="G385" s="26"/>
      <c r="H385" s="26"/>
      <c r="I385" s="26"/>
    </row>
    <row r="386" spans="1:34">
      <c r="A386" s="24" t="s">
        <v>8</v>
      </c>
      <c r="B386" s="24" t="s">
        <v>4</v>
      </c>
      <c r="C386" s="30" t="s">
        <v>9</v>
      </c>
      <c r="D386" s="24" t="s">
        <v>6</v>
      </c>
      <c r="E386" s="24" t="s">
        <v>81</v>
      </c>
      <c r="F386" s="24" t="s">
        <v>10</v>
      </c>
      <c r="G386" s="24" t="s">
        <v>2</v>
      </c>
      <c r="H386" s="24" t="s">
        <v>5</v>
      </c>
      <c r="I386" s="24" t="s">
        <v>11</v>
      </c>
    </row>
    <row r="387" spans="1:34">
      <c r="A387" s="31" t="s">
        <v>128</v>
      </c>
      <c r="B387" s="31" t="s">
        <v>129</v>
      </c>
      <c r="C387" s="32">
        <v>1</v>
      </c>
      <c r="D387" s="26" t="s">
        <v>13</v>
      </c>
      <c r="E387" s="31" t="s">
        <v>122</v>
      </c>
      <c r="F387" s="31"/>
      <c r="G387" s="31" t="s">
        <v>28</v>
      </c>
      <c r="H387" s="31" t="s">
        <v>18</v>
      </c>
      <c r="I387" s="31"/>
    </row>
    <row r="388" spans="1:34">
      <c r="A388" s="31" t="s">
        <v>156</v>
      </c>
      <c r="B388" s="31" t="s">
        <v>157</v>
      </c>
      <c r="C388" s="32">
        <v>0.01</v>
      </c>
      <c r="D388" s="26" t="s">
        <v>158</v>
      </c>
      <c r="E388" s="31" t="s">
        <v>131</v>
      </c>
      <c r="F388" s="31"/>
      <c r="G388" s="31" t="s">
        <v>36</v>
      </c>
      <c r="H388" s="31" t="s">
        <v>12</v>
      </c>
      <c r="I388" s="31" t="s">
        <v>209</v>
      </c>
    </row>
    <row r="389" spans="1:34" s="49" customFormat="1">
      <c r="A389" s="47"/>
      <c r="B389" s="47"/>
      <c r="C389" s="48"/>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row>
    <row r="390" spans="1:34">
      <c r="A390" s="24" t="s">
        <v>1</v>
      </c>
      <c r="B390" s="24" t="s">
        <v>145</v>
      </c>
      <c r="C390" s="2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row>
    <row r="391" spans="1:34">
      <c r="A391" s="24" t="s">
        <v>11</v>
      </c>
      <c r="B391" s="26" t="s">
        <v>265</v>
      </c>
      <c r="C391" s="2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row>
    <row r="392" spans="1:34">
      <c r="A392" s="24" t="s">
        <v>2</v>
      </c>
      <c r="B392" s="26" t="s">
        <v>28</v>
      </c>
      <c r="C392" s="2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row>
    <row r="393" spans="1:34">
      <c r="A393" s="27" t="s">
        <v>4</v>
      </c>
      <c r="B393" s="26" t="s">
        <v>146</v>
      </c>
      <c r="C393" s="2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row>
    <row r="394" spans="1:34">
      <c r="A394" s="24" t="s">
        <v>3</v>
      </c>
      <c r="B394" s="28">
        <v>1</v>
      </c>
      <c r="C394" s="25"/>
      <c r="D394" s="29"/>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row>
    <row r="395" spans="1:34">
      <c r="A395" s="24" t="s">
        <v>6</v>
      </c>
      <c r="B395" s="26" t="s">
        <v>13</v>
      </c>
      <c r="C395" s="25"/>
      <c r="D395" s="29"/>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row>
    <row r="396" spans="1:34">
      <c r="A396" s="24" t="s">
        <v>57</v>
      </c>
      <c r="B396" s="26" t="s">
        <v>199</v>
      </c>
      <c r="C396" s="25"/>
      <c r="D396" s="29"/>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row>
    <row r="397" spans="1:34">
      <c r="A397" s="24" t="s">
        <v>7</v>
      </c>
      <c r="B397" s="26"/>
      <c r="C397" s="2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row>
    <row r="398" spans="1:34">
      <c r="A398" s="24" t="s">
        <v>8</v>
      </c>
      <c r="B398" s="24" t="s">
        <v>4</v>
      </c>
      <c r="C398" s="30" t="s">
        <v>9</v>
      </c>
      <c r="D398" s="24" t="s">
        <v>6</v>
      </c>
      <c r="E398" s="24" t="s">
        <v>81</v>
      </c>
      <c r="F398" s="24" t="s">
        <v>10</v>
      </c>
      <c r="G398" s="24" t="s">
        <v>2</v>
      </c>
      <c r="H398" s="24" t="s">
        <v>5</v>
      </c>
      <c r="I398" s="24" t="s">
        <v>11</v>
      </c>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row>
    <row r="399" spans="1:34">
      <c r="A399" s="31" t="s">
        <v>145</v>
      </c>
      <c r="B399" s="31" t="s">
        <v>146</v>
      </c>
      <c r="C399" s="32">
        <v>1</v>
      </c>
      <c r="D399" s="26" t="s">
        <v>13</v>
      </c>
      <c r="E399" s="31" t="s">
        <v>122</v>
      </c>
      <c r="F399" s="31"/>
      <c r="G399" s="31" t="s">
        <v>28</v>
      </c>
      <c r="H399" s="31" t="s">
        <v>18</v>
      </c>
      <c r="I399" s="31"/>
      <c r="J399" s="31"/>
      <c r="K399" s="31"/>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row>
    <row r="400" spans="1:34">
      <c r="A400" s="31" t="s">
        <v>156</v>
      </c>
      <c r="B400" s="31" t="s">
        <v>157</v>
      </c>
      <c r="C400" s="32">
        <v>0.01</v>
      </c>
      <c r="D400" s="26" t="s">
        <v>158</v>
      </c>
      <c r="E400" s="31" t="s">
        <v>131</v>
      </c>
      <c r="F400" s="31"/>
      <c r="G400" s="31" t="s">
        <v>36</v>
      </c>
      <c r="H400" s="31" t="s">
        <v>12</v>
      </c>
      <c r="I400" s="31" t="s">
        <v>209</v>
      </c>
      <c r="J400" s="31"/>
      <c r="K400" s="31"/>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row>
    <row r="401" spans="1:34">
      <c r="A401" s="31" t="s">
        <v>34</v>
      </c>
      <c r="B401" s="31" t="s">
        <v>33</v>
      </c>
      <c r="C401" s="37">
        <v>3.7599999999999999E-3</v>
      </c>
      <c r="D401" s="26" t="s">
        <v>19</v>
      </c>
      <c r="E401" s="31" t="s">
        <v>131</v>
      </c>
      <c r="F401" s="31"/>
      <c r="G401" s="31" t="s">
        <v>28</v>
      </c>
      <c r="H401" s="31" t="s">
        <v>12</v>
      </c>
      <c r="I401" s="31" t="s">
        <v>205</v>
      </c>
      <c r="J401" s="31"/>
      <c r="K401" s="31"/>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row>
    <row r="402" spans="1:34">
      <c r="A402" t="s">
        <v>204</v>
      </c>
      <c r="B402" t="s">
        <v>203</v>
      </c>
      <c r="C402" s="37">
        <v>8.4999999999999995E-4</v>
      </c>
      <c r="D402" s="26" t="s">
        <v>13</v>
      </c>
      <c r="E402" s="31" t="s">
        <v>131</v>
      </c>
      <c r="F402" s="31"/>
      <c r="G402" s="31" t="s">
        <v>36</v>
      </c>
      <c r="H402" s="31" t="s">
        <v>12</v>
      </c>
      <c r="I402" s="31" t="s">
        <v>205</v>
      </c>
    </row>
    <row r="403" spans="1:34" s="49" customFormat="1">
      <c r="A403" s="47"/>
      <c r="B403" s="47"/>
      <c r="C403" s="48"/>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row>
    <row r="404" spans="1:34">
      <c r="A404" s="24" t="s">
        <v>1</v>
      </c>
      <c r="B404" s="24" t="s">
        <v>200</v>
      </c>
      <c r="C404" s="25"/>
      <c r="D404" s="26"/>
      <c r="E404" s="26"/>
      <c r="F404" s="26"/>
      <c r="G404" s="26"/>
      <c r="H404" s="26"/>
      <c r="I404" s="26"/>
    </row>
    <row r="405" spans="1:34">
      <c r="A405" s="24" t="s">
        <v>11</v>
      </c>
      <c r="B405" s="26" t="s">
        <v>266</v>
      </c>
      <c r="C405" s="25"/>
      <c r="D405" s="26"/>
      <c r="E405" s="26"/>
      <c r="F405" s="26"/>
      <c r="G405" s="26"/>
      <c r="H405" s="26"/>
      <c r="I405" s="26"/>
    </row>
    <row r="406" spans="1:34">
      <c r="A406" s="24" t="s">
        <v>2</v>
      </c>
      <c r="B406" s="26" t="s">
        <v>28</v>
      </c>
      <c r="C406" s="25"/>
      <c r="D406" s="26"/>
      <c r="E406" s="26"/>
      <c r="F406" s="26"/>
      <c r="G406" s="26"/>
      <c r="H406" s="26"/>
      <c r="I406" s="26"/>
    </row>
    <row r="407" spans="1:34">
      <c r="A407" s="27" t="s">
        <v>4</v>
      </c>
      <c r="B407" s="31" t="s">
        <v>201</v>
      </c>
      <c r="C407" s="25"/>
      <c r="D407" s="29"/>
      <c r="E407" s="26"/>
      <c r="F407" s="26"/>
      <c r="G407" s="26"/>
      <c r="H407" s="26"/>
      <c r="I407" s="26"/>
    </row>
    <row r="408" spans="1:34">
      <c r="A408" s="24" t="s">
        <v>3</v>
      </c>
      <c r="B408" s="28">
        <v>1</v>
      </c>
      <c r="C408" s="25"/>
      <c r="D408" s="29"/>
      <c r="E408" s="26"/>
      <c r="F408" s="26"/>
      <c r="G408" s="26"/>
      <c r="H408" s="26"/>
      <c r="I408" s="26"/>
    </row>
    <row r="409" spans="1:34">
      <c r="A409" s="24" t="s">
        <v>6</v>
      </c>
      <c r="B409" s="26" t="s">
        <v>13</v>
      </c>
      <c r="C409" s="25"/>
      <c r="D409" s="29"/>
      <c r="E409" s="26"/>
      <c r="F409" s="26"/>
      <c r="G409" s="26"/>
      <c r="H409" s="26"/>
      <c r="I409" s="26"/>
    </row>
    <row r="410" spans="1:34">
      <c r="A410" s="24" t="s">
        <v>57</v>
      </c>
      <c r="B410" s="26" t="s">
        <v>199</v>
      </c>
      <c r="C410" s="25"/>
      <c r="D410" s="29"/>
      <c r="E410" s="26"/>
      <c r="F410" s="26"/>
      <c r="G410" s="26"/>
      <c r="H410" s="26"/>
      <c r="I410" s="26"/>
    </row>
    <row r="411" spans="1:34">
      <c r="A411" s="24" t="s">
        <v>7</v>
      </c>
      <c r="B411" s="26"/>
      <c r="C411" s="25"/>
      <c r="D411" s="26"/>
      <c r="E411" s="26"/>
      <c r="F411" s="26"/>
      <c r="G411" s="26"/>
      <c r="H411" s="26"/>
      <c r="I411" s="26"/>
    </row>
    <row r="412" spans="1:34">
      <c r="A412" s="24" t="s">
        <v>8</v>
      </c>
      <c r="B412" s="24" t="s">
        <v>4</v>
      </c>
      <c r="C412" s="30" t="s">
        <v>9</v>
      </c>
      <c r="D412" s="24" t="s">
        <v>6</v>
      </c>
      <c r="E412" s="24" t="s">
        <v>81</v>
      </c>
      <c r="F412" s="24" t="s">
        <v>10</v>
      </c>
      <c r="G412" s="24" t="s">
        <v>2</v>
      </c>
      <c r="H412" s="24" t="s">
        <v>5</v>
      </c>
      <c r="I412" s="24" t="s">
        <v>11</v>
      </c>
    </row>
    <row r="413" spans="1:34">
      <c r="A413" s="31" t="s">
        <v>200</v>
      </c>
      <c r="B413" s="31" t="s">
        <v>201</v>
      </c>
      <c r="C413" s="32">
        <v>1</v>
      </c>
      <c r="D413" s="26" t="s">
        <v>13</v>
      </c>
      <c r="E413" s="31" t="s">
        <v>122</v>
      </c>
      <c r="F413" s="31"/>
      <c r="G413" s="31" t="s">
        <v>28</v>
      </c>
      <c r="H413" s="31" t="s">
        <v>18</v>
      </c>
      <c r="I413" s="31"/>
    </row>
    <row r="414" spans="1:34">
      <c r="A414" s="31" t="s">
        <v>202</v>
      </c>
      <c r="B414" s="31" t="s">
        <v>202</v>
      </c>
      <c r="C414" s="37">
        <v>0.1</v>
      </c>
      <c r="D414" s="26" t="s">
        <v>158</v>
      </c>
      <c r="E414" s="31" t="s">
        <v>131</v>
      </c>
      <c r="F414" s="31"/>
      <c r="G414" s="31" t="s">
        <v>26</v>
      </c>
      <c r="H414" s="31" t="s">
        <v>12</v>
      </c>
      <c r="I414" s="31" t="s">
        <v>206</v>
      </c>
    </row>
    <row r="415" spans="1:34">
      <c r="A415" s="31" t="s">
        <v>34</v>
      </c>
      <c r="B415" s="31" t="s">
        <v>33</v>
      </c>
      <c r="C415" s="37">
        <v>3.7599999999999999E-3</v>
      </c>
      <c r="D415" s="26" t="s">
        <v>19</v>
      </c>
      <c r="E415" s="31" t="s">
        <v>131</v>
      </c>
      <c r="F415" s="31"/>
      <c r="G415" s="31" t="s">
        <v>28</v>
      </c>
      <c r="H415" s="31" t="s">
        <v>12</v>
      </c>
      <c r="I415" s="31" t="s">
        <v>205</v>
      </c>
    </row>
    <row r="416" spans="1:34">
      <c r="A416" t="s">
        <v>204</v>
      </c>
      <c r="B416" t="s">
        <v>203</v>
      </c>
      <c r="C416" s="37">
        <v>8.4999999999999995E-4</v>
      </c>
      <c r="D416" s="26" t="s">
        <v>13</v>
      </c>
      <c r="E416" s="31" t="s">
        <v>131</v>
      </c>
      <c r="F416" s="31"/>
      <c r="G416" s="31" t="s">
        <v>36</v>
      </c>
      <c r="H416" s="31" t="s">
        <v>12</v>
      </c>
      <c r="I416" s="31" t="s">
        <v>205</v>
      </c>
    </row>
    <row r="417" spans="1:34" s="49" customFormat="1">
      <c r="A417" s="47"/>
      <c r="B417" s="47"/>
      <c r="C417" s="48"/>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row>
    <row r="418" spans="1:34">
      <c r="A418" s="24" t="s">
        <v>1</v>
      </c>
      <c r="B418" s="24" t="s">
        <v>268</v>
      </c>
      <c r="C418" s="2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row>
    <row r="419" spans="1:34">
      <c r="A419" s="24" t="s">
        <v>11</v>
      </c>
      <c r="B419" s="26" t="s">
        <v>328</v>
      </c>
      <c r="C419" s="2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row>
    <row r="420" spans="1:34">
      <c r="A420" s="24" t="s">
        <v>2</v>
      </c>
      <c r="B420" s="26" t="s">
        <v>28</v>
      </c>
      <c r="C420" s="2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row>
    <row r="421" spans="1:34">
      <c r="A421" s="27" t="s">
        <v>4</v>
      </c>
      <c r="B421" s="26" t="s">
        <v>267</v>
      </c>
      <c r="C421" s="2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row>
    <row r="422" spans="1:34">
      <c r="A422" s="24" t="s">
        <v>3</v>
      </c>
      <c r="B422" s="28">
        <v>1</v>
      </c>
      <c r="C422" s="25"/>
      <c r="D422" s="29"/>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row>
    <row r="423" spans="1:34">
      <c r="A423" s="24" t="s">
        <v>6</v>
      </c>
      <c r="B423" s="26" t="s">
        <v>13</v>
      </c>
      <c r="C423" s="25"/>
      <c r="D423" s="29"/>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row>
    <row r="424" spans="1:34">
      <c r="A424" s="24" t="s">
        <v>57</v>
      </c>
      <c r="B424" s="26" t="s">
        <v>284</v>
      </c>
      <c r="C424" s="25"/>
      <c r="D424" s="29"/>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row>
    <row r="425" spans="1:34">
      <c r="A425" s="24" t="s">
        <v>7</v>
      </c>
      <c r="B425" s="26"/>
      <c r="C425" s="2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row>
    <row r="426" spans="1:34">
      <c r="A426" s="24" t="s">
        <v>8</v>
      </c>
      <c r="B426" s="24" t="s">
        <v>4</v>
      </c>
      <c r="C426" s="30" t="s">
        <v>9</v>
      </c>
      <c r="D426" s="24" t="s">
        <v>6</v>
      </c>
      <c r="E426" s="24" t="s">
        <v>81</v>
      </c>
      <c r="F426" s="24" t="s">
        <v>10</v>
      </c>
      <c r="G426" s="24" t="s">
        <v>2</v>
      </c>
      <c r="H426" s="24" t="s">
        <v>5</v>
      </c>
      <c r="I426" s="24" t="s">
        <v>11</v>
      </c>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row>
    <row r="427" spans="1:34">
      <c r="A427" s="31" t="s">
        <v>268</v>
      </c>
      <c r="B427" s="31" t="s">
        <v>267</v>
      </c>
      <c r="C427" s="32">
        <v>1</v>
      </c>
      <c r="D427" s="26" t="s">
        <v>13</v>
      </c>
      <c r="E427" s="31" t="s">
        <v>122</v>
      </c>
      <c r="F427" s="31"/>
      <c r="G427" s="31" t="s">
        <v>28</v>
      </c>
      <c r="H427" s="31" t="s">
        <v>18</v>
      </c>
      <c r="I427" s="31"/>
      <c r="J427" s="31"/>
      <c r="K427" s="31"/>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row>
    <row r="428" spans="1:34">
      <c r="A428" s="31" t="s">
        <v>156</v>
      </c>
      <c r="B428" s="31" t="s">
        <v>157</v>
      </c>
      <c r="C428" s="32">
        <v>0.01</v>
      </c>
      <c r="D428" s="26" t="s">
        <v>158</v>
      </c>
      <c r="E428" s="31" t="s">
        <v>131</v>
      </c>
      <c r="F428" s="31"/>
      <c r="G428" s="31" t="s">
        <v>36</v>
      </c>
      <c r="H428" s="31" t="s">
        <v>12</v>
      </c>
      <c r="I428" s="31" t="s">
        <v>209</v>
      </c>
      <c r="J428" s="31"/>
      <c r="K428" s="31"/>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row>
    <row r="429" spans="1:34">
      <c r="A429" s="31" t="s">
        <v>270</v>
      </c>
      <c r="B429" s="31" t="s">
        <v>269</v>
      </c>
      <c r="C429" s="32">
        <v>0</v>
      </c>
      <c r="D429" s="26" t="s">
        <v>13</v>
      </c>
      <c r="E429" s="31" t="s">
        <v>131</v>
      </c>
      <c r="F429" s="31"/>
      <c r="G429" s="31" t="s">
        <v>134</v>
      </c>
      <c r="H429" s="31" t="s">
        <v>12</v>
      </c>
      <c r="I429" s="31"/>
      <c r="J429" s="31"/>
      <c r="K429" s="31"/>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row>
    <row r="430" spans="1:34">
      <c r="A430" s="31" t="s">
        <v>271</v>
      </c>
      <c r="B430" s="31" t="s">
        <v>272</v>
      </c>
      <c r="C430" s="32">
        <v>0</v>
      </c>
      <c r="D430" s="26" t="s">
        <v>13</v>
      </c>
      <c r="E430" s="31" t="s">
        <v>131</v>
      </c>
      <c r="F430" s="31"/>
      <c r="G430" s="31" t="s">
        <v>28</v>
      </c>
      <c r="H430" s="31" t="s">
        <v>12</v>
      </c>
      <c r="I430" s="31"/>
      <c r="J430" s="31"/>
      <c r="K430" s="31"/>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row>
    <row r="431" spans="1:34">
      <c r="A431" s="31" t="s">
        <v>273</v>
      </c>
      <c r="B431" s="31" t="s">
        <v>274</v>
      </c>
      <c r="C431" s="32">
        <v>1</v>
      </c>
      <c r="D431" s="26" t="s">
        <v>13</v>
      </c>
      <c r="E431" s="31" t="s">
        <v>131</v>
      </c>
      <c r="F431" s="31"/>
      <c r="G431" s="31" t="s">
        <v>36</v>
      </c>
      <c r="H431" s="31" t="s">
        <v>12</v>
      </c>
      <c r="I431" s="31"/>
      <c r="J431" s="31"/>
      <c r="K431" s="31"/>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row>
    <row r="432" spans="1:34">
      <c r="A432" s="31" t="s">
        <v>277</v>
      </c>
      <c r="B432" s="31" t="s">
        <v>278</v>
      </c>
      <c r="C432" s="32">
        <v>0</v>
      </c>
      <c r="D432" s="26" t="s">
        <v>13</v>
      </c>
      <c r="E432" s="31" t="s">
        <v>131</v>
      </c>
      <c r="F432" s="31"/>
      <c r="G432" s="31" t="s">
        <v>36</v>
      </c>
      <c r="H432" s="31" t="s">
        <v>12</v>
      </c>
      <c r="I432" s="31"/>
      <c r="J432" s="31"/>
      <c r="K432" s="31"/>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row>
    <row r="433" spans="1:34">
      <c r="A433" s="31" t="s">
        <v>279</v>
      </c>
      <c r="B433" s="31" t="s">
        <v>280</v>
      </c>
      <c r="C433" s="32">
        <v>0</v>
      </c>
      <c r="D433" s="26" t="s">
        <v>13</v>
      </c>
      <c r="E433" s="31" t="s">
        <v>131</v>
      </c>
      <c r="F433" s="31"/>
      <c r="G433" s="31" t="s">
        <v>26</v>
      </c>
      <c r="H433" s="31" t="s">
        <v>12</v>
      </c>
      <c r="I433" s="31"/>
      <c r="J433" s="31"/>
      <c r="K433" s="31"/>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row>
    <row r="434" spans="1:34">
      <c r="A434" s="31" t="s">
        <v>281</v>
      </c>
      <c r="B434" s="31" t="s">
        <v>282</v>
      </c>
      <c r="C434" s="32">
        <v>0</v>
      </c>
      <c r="D434" s="26" t="s">
        <v>13</v>
      </c>
      <c r="E434" s="31" t="s">
        <v>131</v>
      </c>
      <c r="F434" s="31"/>
      <c r="G434" s="31" t="s">
        <v>96</v>
      </c>
      <c r="H434" s="31" t="s">
        <v>12</v>
      </c>
      <c r="I434" s="31" t="s">
        <v>283</v>
      </c>
      <c r="J434" s="31"/>
      <c r="K434" s="31"/>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row>
    <row r="435" spans="1:34">
      <c r="A435" s="31" t="s">
        <v>315</v>
      </c>
      <c r="B435" s="31" t="s">
        <v>316</v>
      </c>
      <c r="C435" s="32">
        <v>0</v>
      </c>
      <c r="D435" s="26" t="s">
        <v>13</v>
      </c>
      <c r="E435" s="31" t="s">
        <v>131</v>
      </c>
      <c r="F435" s="31"/>
      <c r="G435" s="31" t="s">
        <v>134</v>
      </c>
      <c r="H435" s="31" t="s">
        <v>12</v>
      </c>
      <c r="I435" s="31"/>
      <c r="J435" s="31"/>
      <c r="K435" s="31"/>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row>
    <row r="436" spans="1:34" s="49" customFormat="1">
      <c r="A436" s="47"/>
      <c r="B436" s="47"/>
      <c r="C436" s="48"/>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row>
    <row r="437" spans="1:34">
      <c r="A437" s="24" t="s">
        <v>1</v>
      </c>
      <c r="B437" s="24" t="s">
        <v>273</v>
      </c>
      <c r="C437" s="25"/>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row>
    <row r="438" spans="1:34">
      <c r="A438" s="24" t="s">
        <v>11</v>
      </c>
      <c r="B438" s="26" t="s">
        <v>276</v>
      </c>
      <c r="C438" s="25"/>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row>
    <row r="439" spans="1:34">
      <c r="A439" s="24" t="s">
        <v>2</v>
      </c>
      <c r="B439" s="26" t="s">
        <v>36</v>
      </c>
      <c r="C439" s="25"/>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row>
    <row r="440" spans="1:34">
      <c r="A440" s="27" t="s">
        <v>4</v>
      </c>
      <c r="B440" s="26" t="s">
        <v>267</v>
      </c>
      <c r="C440" s="25"/>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row>
    <row r="441" spans="1:34">
      <c r="A441" s="24" t="s">
        <v>3</v>
      </c>
      <c r="B441" s="28">
        <v>1</v>
      </c>
      <c r="C441" s="25"/>
      <c r="D441" s="29"/>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row>
    <row r="442" spans="1:34">
      <c r="A442" s="24" t="s">
        <v>6</v>
      </c>
      <c r="B442" s="26" t="s">
        <v>13</v>
      </c>
      <c r="C442" s="25"/>
      <c r="D442" s="29"/>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row>
    <row r="443" spans="1:34">
      <c r="A443" s="24" t="s">
        <v>57</v>
      </c>
      <c r="B443" t="s">
        <v>275</v>
      </c>
      <c r="C443" s="25"/>
      <c r="D443" s="29"/>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row>
    <row r="444" spans="1:34">
      <c r="A444" s="24" t="s">
        <v>7</v>
      </c>
      <c r="B444" s="26"/>
      <c r="C444" s="25"/>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row>
    <row r="445" spans="1:34">
      <c r="A445" s="24" t="s">
        <v>8</v>
      </c>
      <c r="B445" s="24" t="s">
        <v>4</v>
      </c>
      <c r="C445" s="30" t="s">
        <v>9</v>
      </c>
      <c r="D445" s="24" t="s">
        <v>6</v>
      </c>
      <c r="E445" s="24" t="s">
        <v>81</v>
      </c>
      <c r="F445" s="24" t="s">
        <v>10</v>
      </c>
      <c r="G445" s="24" t="s">
        <v>2</v>
      </c>
      <c r="H445" s="24" t="s">
        <v>5</v>
      </c>
      <c r="I445" s="24" t="s">
        <v>11</v>
      </c>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row>
    <row r="446" spans="1:34">
      <c r="A446" s="31" t="s">
        <v>273</v>
      </c>
      <c r="B446" s="31" t="s">
        <v>274</v>
      </c>
      <c r="C446" s="32">
        <v>1</v>
      </c>
      <c r="D446" s="26" t="s">
        <v>13</v>
      </c>
      <c r="E446" s="31"/>
      <c r="F446" s="31"/>
      <c r="G446" s="31" t="s">
        <v>36</v>
      </c>
      <c r="H446" s="31" t="s">
        <v>18</v>
      </c>
      <c r="I446" s="31"/>
      <c r="J446" s="31"/>
      <c r="K446" s="31"/>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row>
    <row r="447" spans="1:34">
      <c r="A447" s="31" t="s">
        <v>169</v>
      </c>
      <c r="B447" s="31" t="s">
        <v>160</v>
      </c>
      <c r="C447" s="25">
        <v>4.0000000000000001E-3</v>
      </c>
      <c r="D447" s="26" t="s">
        <v>13</v>
      </c>
      <c r="E447" s="31" t="s">
        <v>131</v>
      </c>
      <c r="F447" s="31"/>
      <c r="G447" s="31" t="s">
        <v>28</v>
      </c>
      <c r="H447" s="31" t="s">
        <v>12</v>
      </c>
      <c r="I447" s="31" t="s">
        <v>161</v>
      </c>
      <c r="J447" s="31"/>
      <c r="K447" s="31"/>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row>
    <row r="448" spans="1:34">
      <c r="A448" s="31" t="s">
        <v>162</v>
      </c>
      <c r="B448" s="31" t="s">
        <v>163</v>
      </c>
      <c r="C448" s="25">
        <v>5.0000000000000002E-5</v>
      </c>
      <c r="D448" s="26" t="s">
        <v>164</v>
      </c>
      <c r="E448" s="31" t="s">
        <v>131</v>
      </c>
      <c r="F448" s="31"/>
      <c r="G448" s="31" t="s">
        <v>96</v>
      </c>
      <c r="H448" s="31" t="s">
        <v>12</v>
      </c>
      <c r="I448" s="31" t="s">
        <v>165</v>
      </c>
      <c r="J448" s="31"/>
      <c r="K448" s="31"/>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row>
    <row r="449" spans="1:9">
      <c r="A449" t="s">
        <v>166</v>
      </c>
      <c r="B449"/>
      <c r="C449" s="25">
        <v>4.4000000000000003E-3</v>
      </c>
      <c r="D449" s="26" t="s">
        <v>13</v>
      </c>
      <c r="E449" s="26" t="s">
        <v>83</v>
      </c>
      <c r="F449" s="26" t="s">
        <v>167</v>
      </c>
      <c r="H449" s="26" t="s">
        <v>15</v>
      </c>
      <c r="I449" s="26" t="s">
        <v>168</v>
      </c>
    </row>
    <row r="450" spans="1:9" s="49" customFormat="1">
      <c r="B450" s="50"/>
    </row>
    <row r="451" spans="1:9">
      <c r="A451" s="24" t="s">
        <v>1</v>
      </c>
      <c r="B451" s="24" t="s">
        <v>195</v>
      </c>
    </row>
    <row r="452" spans="1:9">
      <c r="A452" s="27" t="s">
        <v>11</v>
      </c>
      <c r="B452" t="s">
        <v>317</v>
      </c>
    </row>
    <row r="453" spans="1:9">
      <c r="A453" s="27" t="s">
        <v>2</v>
      </c>
      <c r="B453" t="s">
        <v>28</v>
      </c>
    </row>
    <row r="454" spans="1:9">
      <c r="A454" s="27" t="s">
        <v>3</v>
      </c>
      <c r="B454" s="28">
        <v>1</v>
      </c>
    </row>
    <row r="455" spans="1:9">
      <c r="A455" s="27" t="s">
        <v>4</v>
      </c>
      <c r="B455" t="s">
        <v>170</v>
      </c>
    </row>
    <row r="456" spans="1:9">
      <c r="A456" s="27" t="s">
        <v>6</v>
      </c>
      <c r="B456" t="s">
        <v>91</v>
      </c>
    </row>
    <row r="457" spans="1:9">
      <c r="A457" s="27" t="s">
        <v>57</v>
      </c>
      <c r="B457"/>
    </row>
    <row r="458" spans="1:9" ht="15.75">
      <c r="A458" s="18" t="s">
        <v>7</v>
      </c>
      <c r="B458"/>
    </row>
    <row r="459" spans="1:9" s="27" customFormat="1">
      <c r="A459" s="27" t="s">
        <v>8</v>
      </c>
      <c r="B459" s="27" t="s">
        <v>4</v>
      </c>
      <c r="C459" s="27" t="s">
        <v>9</v>
      </c>
      <c r="D459" s="27" t="s">
        <v>6</v>
      </c>
      <c r="E459" s="27" t="s">
        <v>81</v>
      </c>
      <c r="F459" s="27" t="s">
        <v>10</v>
      </c>
      <c r="G459" s="27" t="s">
        <v>2</v>
      </c>
      <c r="H459" s="27" t="s">
        <v>5</v>
      </c>
      <c r="I459" s="27" t="s">
        <v>11</v>
      </c>
    </row>
    <row r="460" spans="1:9">
      <c r="A460" t="s">
        <v>195</v>
      </c>
      <c r="B460" t="s">
        <v>170</v>
      </c>
      <c r="C460">
        <v>1</v>
      </c>
      <c r="D460" t="s">
        <v>91</v>
      </c>
      <c r="E460" s="31"/>
      <c r="G460" t="s">
        <v>28</v>
      </c>
      <c r="H460" t="s">
        <v>18</v>
      </c>
    </row>
    <row r="461" spans="1:9">
      <c r="A461" t="s">
        <v>175</v>
      </c>
      <c r="B461" t="s">
        <v>176</v>
      </c>
      <c r="C461">
        <v>1.5153830138359706E-4</v>
      </c>
      <c r="D461" t="s">
        <v>13</v>
      </c>
      <c r="E461" t="s">
        <v>131</v>
      </c>
      <c r="G461" t="s">
        <v>96</v>
      </c>
      <c r="H461" t="s">
        <v>12</v>
      </c>
    </row>
    <row r="462" spans="1:9">
      <c r="A462" t="s">
        <v>177</v>
      </c>
      <c r="B462" t="s">
        <v>95</v>
      </c>
      <c r="C462">
        <v>5.4000000000000001E-11</v>
      </c>
      <c r="D462" t="s">
        <v>6</v>
      </c>
      <c r="E462" t="s">
        <v>131</v>
      </c>
      <c r="G462" t="s">
        <v>96</v>
      </c>
      <c r="H462" t="s">
        <v>12</v>
      </c>
    </row>
    <row r="463" spans="1:9">
      <c r="A463" t="s">
        <v>27</v>
      </c>
      <c r="B463" t="s">
        <v>20</v>
      </c>
      <c r="C463">
        <v>0.9818888836474815</v>
      </c>
      <c r="D463" t="s">
        <v>19</v>
      </c>
      <c r="E463" t="s">
        <v>131</v>
      </c>
      <c r="G463" t="s">
        <v>28</v>
      </c>
      <c r="H463" t="s">
        <v>12</v>
      </c>
    </row>
    <row r="464" spans="1:9">
      <c r="A464" t="s">
        <v>105</v>
      </c>
      <c r="B464" t="s">
        <v>106</v>
      </c>
      <c r="C464">
        <v>1.1400000000000001E-4</v>
      </c>
      <c r="D464" t="s">
        <v>13</v>
      </c>
      <c r="E464" t="s">
        <v>131</v>
      </c>
      <c r="G464" t="s">
        <v>36</v>
      </c>
      <c r="H464" t="s">
        <v>12</v>
      </c>
    </row>
    <row r="465" spans="1:9">
      <c r="A465" t="s">
        <v>178</v>
      </c>
      <c r="B465" t="s">
        <v>179</v>
      </c>
      <c r="C465">
        <v>1.01E-4</v>
      </c>
      <c r="D465" t="s">
        <v>13</v>
      </c>
      <c r="E465" t="s">
        <v>131</v>
      </c>
      <c r="G465" t="s">
        <v>96</v>
      </c>
      <c r="H465" t="s">
        <v>12</v>
      </c>
    </row>
    <row r="466" spans="1:9">
      <c r="A466" t="s">
        <v>303</v>
      </c>
      <c r="B466" s="13" t="s">
        <v>121</v>
      </c>
      <c r="C466">
        <v>1.8942287672949629</v>
      </c>
      <c r="D466" s="26" t="s">
        <v>91</v>
      </c>
      <c r="G466" s="31" t="s">
        <v>134</v>
      </c>
      <c r="H466" t="s">
        <v>12</v>
      </c>
    </row>
    <row r="467" spans="1:9" s="26" customFormat="1">
      <c r="A467" s="31" t="s">
        <v>258</v>
      </c>
      <c r="B467" s="31" t="s">
        <v>258</v>
      </c>
      <c r="C467" s="45">
        <v>1</v>
      </c>
      <c r="D467" s="26" t="s">
        <v>6</v>
      </c>
      <c r="E467"/>
      <c r="F467" s="24"/>
      <c r="G467" s="31" t="s">
        <v>28</v>
      </c>
      <c r="H467" t="s">
        <v>12</v>
      </c>
      <c r="I467" s="24"/>
    </row>
    <row r="468" spans="1:9">
      <c r="A468" t="s">
        <v>138</v>
      </c>
      <c r="B468"/>
      <c r="C468">
        <v>1.7715245298393998</v>
      </c>
      <c r="D468" t="s">
        <v>13</v>
      </c>
      <c r="E468" t="s">
        <v>83</v>
      </c>
      <c r="F468" t="s">
        <v>109</v>
      </c>
      <c r="H468" t="s">
        <v>15</v>
      </c>
    </row>
    <row r="469" spans="1:9">
      <c r="A469" t="s">
        <v>171</v>
      </c>
      <c r="B469"/>
      <c r="C469">
        <v>1.28</v>
      </c>
      <c r="D469" t="s">
        <v>35</v>
      </c>
      <c r="E469" t="s">
        <v>83</v>
      </c>
      <c r="F469" t="s">
        <v>109</v>
      </c>
      <c r="H469" t="s">
        <v>15</v>
      </c>
    </row>
    <row r="470" spans="1:9">
      <c r="A470" t="s">
        <v>172</v>
      </c>
      <c r="B470"/>
      <c r="C470">
        <v>0</v>
      </c>
      <c r="D470" t="s">
        <v>13</v>
      </c>
      <c r="E470" t="s">
        <v>83</v>
      </c>
      <c r="F470" t="s">
        <v>109</v>
      </c>
      <c r="H470" t="s">
        <v>15</v>
      </c>
    </row>
    <row r="471" spans="1:9">
      <c r="A471" t="s">
        <v>110</v>
      </c>
      <c r="B471"/>
      <c r="C471">
        <v>7.0244489999999995E-3</v>
      </c>
      <c r="D471" t="s">
        <v>13</v>
      </c>
      <c r="E471" t="s">
        <v>83</v>
      </c>
      <c r="F471" t="s">
        <v>109</v>
      </c>
      <c r="H471" t="s">
        <v>15</v>
      </c>
    </row>
    <row r="472" spans="1:9">
      <c r="A472" t="s">
        <v>173</v>
      </c>
      <c r="B472"/>
      <c r="C472">
        <v>5.1560000000000002E-2</v>
      </c>
      <c r="D472" t="s">
        <v>13</v>
      </c>
      <c r="E472" t="s">
        <v>83</v>
      </c>
      <c r="F472" t="s">
        <v>25</v>
      </c>
      <c r="H472" t="s">
        <v>15</v>
      </c>
    </row>
    <row r="473" spans="1:9">
      <c r="A473" t="s">
        <v>89</v>
      </c>
      <c r="B473"/>
      <c r="C473">
        <v>6.5989999999999998E-6</v>
      </c>
      <c r="D473" t="s">
        <v>13</v>
      </c>
      <c r="E473" t="s">
        <v>83</v>
      </c>
      <c r="F473" t="s">
        <v>174</v>
      </c>
      <c r="H473" t="s">
        <v>15</v>
      </c>
    </row>
    <row r="474" spans="1:9" s="49" customFormat="1">
      <c r="B474" s="50"/>
    </row>
    <row r="475" spans="1:9">
      <c r="A475" s="24" t="s">
        <v>1</v>
      </c>
      <c r="B475" s="24" t="s">
        <v>183</v>
      </c>
    </row>
    <row r="476" spans="1:9">
      <c r="A476" s="27" t="s">
        <v>11</v>
      </c>
      <c r="B476" t="s">
        <v>318</v>
      </c>
    </row>
    <row r="477" spans="1:9">
      <c r="A477" s="27" t="s">
        <v>2</v>
      </c>
      <c r="B477" t="s">
        <v>28</v>
      </c>
    </row>
    <row r="478" spans="1:9">
      <c r="A478" s="27" t="s">
        <v>3</v>
      </c>
      <c r="B478" s="28">
        <v>1</v>
      </c>
    </row>
    <row r="479" spans="1:9">
      <c r="A479" s="27" t="s">
        <v>4</v>
      </c>
      <c r="B479" t="s">
        <v>170</v>
      </c>
    </row>
    <row r="480" spans="1:9">
      <c r="A480" s="27" t="s">
        <v>6</v>
      </c>
      <c r="B480" t="s">
        <v>91</v>
      </c>
    </row>
    <row r="481" spans="1:9">
      <c r="A481" s="27" t="s">
        <v>57</v>
      </c>
      <c r="B481"/>
    </row>
    <row r="482" spans="1:9" ht="15.75">
      <c r="A482" s="18" t="s">
        <v>7</v>
      </c>
      <c r="B482"/>
    </row>
    <row r="483" spans="1:9" s="27" customFormat="1">
      <c r="A483" s="27" t="s">
        <v>8</v>
      </c>
      <c r="B483" s="27" t="s">
        <v>4</v>
      </c>
      <c r="C483" s="27" t="s">
        <v>9</v>
      </c>
      <c r="D483" s="27" t="s">
        <v>6</v>
      </c>
      <c r="E483" s="27" t="s">
        <v>81</v>
      </c>
      <c r="F483" s="27" t="s">
        <v>10</v>
      </c>
      <c r="G483" s="27" t="s">
        <v>2</v>
      </c>
      <c r="H483" s="27" t="s">
        <v>5</v>
      </c>
      <c r="I483" s="27" t="s">
        <v>11</v>
      </c>
    </row>
    <row r="484" spans="1:9">
      <c r="A484" t="s">
        <v>183</v>
      </c>
      <c r="B484" t="s">
        <v>170</v>
      </c>
      <c r="C484">
        <v>1</v>
      </c>
      <c r="D484" t="s">
        <v>91</v>
      </c>
      <c r="E484" s="31"/>
      <c r="G484" t="s">
        <v>28</v>
      </c>
      <c r="H484" t="s">
        <v>18</v>
      </c>
    </row>
    <row r="485" spans="1:9">
      <c r="A485" t="s">
        <v>175</v>
      </c>
      <c r="B485" t="s">
        <v>176</v>
      </c>
      <c r="C485">
        <v>1.5328461905494623E-4</v>
      </c>
      <c r="D485" t="s">
        <v>13</v>
      </c>
      <c r="E485" t="s">
        <v>131</v>
      </c>
      <c r="G485" t="s">
        <v>96</v>
      </c>
      <c r="H485" t="s">
        <v>12</v>
      </c>
    </row>
    <row r="486" spans="1:9">
      <c r="A486" t="s">
        <v>177</v>
      </c>
      <c r="B486" t="s">
        <v>95</v>
      </c>
      <c r="C486">
        <v>5.4000000000000001E-11</v>
      </c>
      <c r="D486" t="s">
        <v>6</v>
      </c>
      <c r="E486" t="s">
        <v>131</v>
      </c>
      <c r="G486" t="s">
        <v>96</v>
      </c>
      <c r="H486" t="s">
        <v>12</v>
      </c>
    </row>
    <row r="487" spans="1:9">
      <c r="A487" t="s">
        <v>27</v>
      </c>
      <c r="B487" t="s">
        <v>20</v>
      </c>
      <c r="C487">
        <v>0.76289810836538974</v>
      </c>
      <c r="D487" t="s">
        <v>19</v>
      </c>
      <c r="E487" t="s">
        <v>131</v>
      </c>
      <c r="G487" t="s">
        <v>28</v>
      </c>
      <c r="H487" t="s">
        <v>12</v>
      </c>
    </row>
    <row r="488" spans="1:9">
      <c r="A488" t="s">
        <v>105</v>
      </c>
      <c r="B488" t="s">
        <v>106</v>
      </c>
      <c r="C488">
        <v>1.1400000000000001E-4</v>
      </c>
      <c r="D488" t="s">
        <v>13</v>
      </c>
      <c r="E488" t="s">
        <v>131</v>
      </c>
      <c r="G488" t="s">
        <v>36</v>
      </c>
      <c r="H488" t="s">
        <v>12</v>
      </c>
    </row>
    <row r="489" spans="1:9">
      <c r="A489" t="s">
        <v>178</v>
      </c>
      <c r="B489" t="s">
        <v>179</v>
      </c>
      <c r="C489">
        <v>1.01E-4</v>
      </c>
      <c r="D489" t="s">
        <v>13</v>
      </c>
      <c r="E489" t="s">
        <v>131</v>
      </c>
      <c r="G489" t="s">
        <v>96</v>
      </c>
      <c r="H489" t="s">
        <v>12</v>
      </c>
    </row>
    <row r="490" spans="1:9">
      <c r="A490" t="s">
        <v>303</v>
      </c>
      <c r="B490" s="13" t="s">
        <v>121</v>
      </c>
      <c r="C490">
        <v>1.9160577381868278</v>
      </c>
      <c r="D490" s="26" t="s">
        <v>91</v>
      </c>
      <c r="G490" s="31" t="s">
        <v>134</v>
      </c>
      <c r="H490" t="s">
        <v>12</v>
      </c>
    </row>
    <row r="491" spans="1:9" s="26" customFormat="1">
      <c r="A491" s="31" t="s">
        <v>258</v>
      </c>
      <c r="B491" s="31" t="s">
        <v>258</v>
      </c>
      <c r="C491" s="45">
        <v>1</v>
      </c>
      <c r="D491" s="26" t="s">
        <v>6</v>
      </c>
      <c r="E491"/>
      <c r="F491" s="24"/>
      <c r="G491" s="31" t="s">
        <v>28</v>
      </c>
      <c r="H491" t="s">
        <v>12</v>
      </c>
      <c r="I491" s="24"/>
    </row>
    <row r="492" spans="1:9">
      <c r="A492" t="s">
        <v>138</v>
      </c>
      <c r="B492"/>
      <c r="C492">
        <v>1.8288866704275042</v>
      </c>
      <c r="D492" t="s">
        <v>13</v>
      </c>
      <c r="E492" t="s">
        <v>83</v>
      </c>
      <c r="F492" t="s">
        <v>109</v>
      </c>
      <c r="H492" t="s">
        <v>15</v>
      </c>
    </row>
    <row r="493" spans="1:9">
      <c r="A493" t="s">
        <v>171</v>
      </c>
      <c r="B493"/>
      <c r="C493">
        <v>1.28</v>
      </c>
      <c r="D493" t="s">
        <v>35</v>
      </c>
      <c r="E493" t="s">
        <v>83</v>
      </c>
      <c r="F493" t="s">
        <v>109</v>
      </c>
      <c r="H493" t="s">
        <v>15</v>
      </c>
    </row>
    <row r="494" spans="1:9">
      <c r="A494" t="s">
        <v>172</v>
      </c>
      <c r="B494"/>
      <c r="C494">
        <v>0</v>
      </c>
      <c r="D494" t="s">
        <v>13</v>
      </c>
      <c r="E494" t="s">
        <v>83</v>
      </c>
      <c r="F494" t="s">
        <v>109</v>
      </c>
      <c r="H494" t="s">
        <v>15</v>
      </c>
    </row>
    <row r="495" spans="1:9">
      <c r="A495" t="s">
        <v>110</v>
      </c>
      <c r="B495"/>
      <c r="C495">
        <v>7.1053982999999999E-4</v>
      </c>
      <c r="D495" t="s">
        <v>13</v>
      </c>
      <c r="E495" t="s">
        <v>83</v>
      </c>
      <c r="F495" t="s">
        <v>109</v>
      </c>
      <c r="H495" t="s">
        <v>15</v>
      </c>
    </row>
    <row r="496" spans="1:9">
      <c r="A496" t="s">
        <v>173</v>
      </c>
      <c r="B496"/>
      <c r="C496">
        <v>5.1560000000000002E-2</v>
      </c>
      <c r="D496" t="s">
        <v>13</v>
      </c>
      <c r="E496" t="s">
        <v>83</v>
      </c>
      <c r="F496" t="s">
        <v>25</v>
      </c>
      <c r="H496" t="s">
        <v>15</v>
      </c>
    </row>
    <row r="497" spans="1:8">
      <c r="A497" t="s">
        <v>89</v>
      </c>
      <c r="B497"/>
      <c r="C497">
        <v>6.5989999999999998E-6</v>
      </c>
      <c r="D497" t="s">
        <v>13</v>
      </c>
      <c r="E497" t="s">
        <v>83</v>
      </c>
      <c r="F497" t="s">
        <v>174</v>
      </c>
      <c r="H497" t="s">
        <v>15</v>
      </c>
    </row>
    <row r="498" spans="1:8">
      <c r="A498" s="31" t="s">
        <v>30</v>
      </c>
      <c r="B498" s="31" t="s">
        <v>31</v>
      </c>
      <c r="C498" s="35">
        <v>0</v>
      </c>
      <c r="D498" s="31" t="s">
        <v>13</v>
      </c>
      <c r="E498" t="s">
        <v>131</v>
      </c>
      <c r="G498" s="31" t="s">
        <v>22</v>
      </c>
      <c r="H498" t="s">
        <v>12</v>
      </c>
    </row>
    <row r="499" spans="1:8">
      <c r="A499" s="31" t="s">
        <v>184</v>
      </c>
      <c r="B499" s="31" t="s">
        <v>185</v>
      </c>
      <c r="C499">
        <v>1.2300000000000001E-4</v>
      </c>
      <c r="D499" s="31" t="s">
        <v>13</v>
      </c>
      <c r="E499" t="s">
        <v>131</v>
      </c>
      <c r="G499" s="31" t="s">
        <v>96</v>
      </c>
      <c r="H499" t="s">
        <v>12</v>
      </c>
    </row>
    <row r="500" spans="1:8">
      <c r="A500" s="31" t="s">
        <v>186</v>
      </c>
      <c r="B500" s="31" t="s">
        <v>187</v>
      </c>
      <c r="C500">
        <v>6.9700000000000003E-4</v>
      </c>
      <c r="D500" s="31" t="s">
        <v>13</v>
      </c>
      <c r="E500" t="s">
        <v>131</v>
      </c>
      <c r="G500" s="31" t="s">
        <v>96</v>
      </c>
      <c r="H500" t="s">
        <v>12</v>
      </c>
    </row>
    <row r="501" spans="1:8">
      <c r="A501" t="s">
        <v>188</v>
      </c>
      <c r="B501" t="s">
        <v>189</v>
      </c>
      <c r="C501">
        <v>2.6400000000000001E-5</v>
      </c>
      <c r="D501" s="31" t="s">
        <v>13</v>
      </c>
      <c r="E501" t="s">
        <v>131</v>
      </c>
      <c r="G501" s="31" t="s">
        <v>96</v>
      </c>
      <c r="H501" t="s">
        <v>12</v>
      </c>
    </row>
    <row r="502" spans="1:8">
      <c r="A502" s="31" t="s">
        <v>190</v>
      </c>
      <c r="B502" s="32" t="s">
        <v>191</v>
      </c>
      <c r="C502">
        <v>0</v>
      </c>
      <c r="D502" s="31" t="s">
        <v>13</v>
      </c>
      <c r="E502" t="s">
        <v>131</v>
      </c>
      <c r="G502" s="31" t="s">
        <v>96</v>
      </c>
      <c r="H502" t="s">
        <v>12</v>
      </c>
    </row>
    <row r="503" spans="1:8">
      <c r="A503" s="31" t="s">
        <v>192</v>
      </c>
      <c r="B503" s="32" t="s">
        <v>193</v>
      </c>
      <c r="C503">
        <v>9.2899999999999995E-5</v>
      </c>
      <c r="D503" s="31" t="s">
        <v>13</v>
      </c>
      <c r="E503" t="s">
        <v>131</v>
      </c>
      <c r="G503" s="31" t="s">
        <v>96</v>
      </c>
      <c r="H503" t="s">
        <v>12</v>
      </c>
    </row>
    <row r="504" spans="1:8">
      <c r="A504" s="11" t="s">
        <v>194</v>
      </c>
      <c r="B504" s="32"/>
      <c r="C504">
        <v>1.3412404167307795E-2</v>
      </c>
      <c r="D504" s="31" t="s">
        <v>13</v>
      </c>
      <c r="E504" s="31" t="s">
        <v>83</v>
      </c>
      <c r="F504" t="s">
        <v>109</v>
      </c>
      <c r="H504" t="s">
        <v>15</v>
      </c>
    </row>
    <row r="505" spans="1:8">
      <c r="A505" s="11" t="s">
        <v>82</v>
      </c>
      <c r="B505" s="31"/>
      <c r="C505">
        <v>0.35255462382637631</v>
      </c>
      <c r="D505" s="31" t="s">
        <v>13</v>
      </c>
      <c r="E505" s="31" t="s">
        <v>83</v>
      </c>
      <c r="F505" t="s">
        <v>109</v>
      </c>
      <c r="H505" t="s">
        <v>15</v>
      </c>
    </row>
    <row r="506" spans="1:8" s="49" customFormat="1">
      <c r="B506" s="50"/>
    </row>
    <row r="507" spans="1:8">
      <c r="A507" s="24" t="s">
        <v>1</v>
      </c>
      <c r="B507" s="24" t="s">
        <v>196</v>
      </c>
    </row>
    <row r="508" spans="1:8">
      <c r="A508" s="27" t="s">
        <v>11</v>
      </c>
      <c r="B508" t="s">
        <v>319</v>
      </c>
    </row>
    <row r="509" spans="1:8">
      <c r="A509" s="27" t="s">
        <v>2</v>
      </c>
      <c r="B509" t="s">
        <v>28</v>
      </c>
    </row>
    <row r="510" spans="1:8">
      <c r="A510" s="27" t="s">
        <v>3</v>
      </c>
      <c r="B510" s="28">
        <v>1</v>
      </c>
    </row>
    <row r="511" spans="1:8">
      <c r="A511" s="27" t="s">
        <v>4</v>
      </c>
      <c r="B511" t="s">
        <v>170</v>
      </c>
    </row>
    <row r="512" spans="1:8">
      <c r="A512" s="27" t="s">
        <v>6</v>
      </c>
      <c r="B512" t="s">
        <v>91</v>
      </c>
    </row>
    <row r="513" spans="1:9">
      <c r="A513" s="27" t="s">
        <v>57</v>
      </c>
      <c r="B513"/>
    </row>
    <row r="514" spans="1:9" ht="15.75">
      <c r="A514" s="18" t="s">
        <v>7</v>
      </c>
      <c r="B514"/>
    </row>
    <row r="515" spans="1:9" s="27" customFormat="1">
      <c r="A515" s="27" t="s">
        <v>8</v>
      </c>
      <c r="B515" s="27" t="s">
        <v>4</v>
      </c>
      <c r="C515" s="27" t="s">
        <v>9</v>
      </c>
      <c r="D515" s="27" t="s">
        <v>6</v>
      </c>
      <c r="E515" s="27" t="s">
        <v>81</v>
      </c>
      <c r="F515" s="27" t="s">
        <v>10</v>
      </c>
      <c r="G515" s="27" t="s">
        <v>2</v>
      </c>
      <c r="H515" s="27" t="s">
        <v>5</v>
      </c>
      <c r="I515" s="27" t="s">
        <v>11</v>
      </c>
    </row>
    <row r="516" spans="1:9">
      <c r="A516" t="s">
        <v>196</v>
      </c>
      <c r="B516" t="s">
        <v>170</v>
      </c>
      <c r="C516">
        <v>1</v>
      </c>
      <c r="D516" t="s">
        <v>91</v>
      </c>
      <c r="E516" s="31"/>
      <c r="G516" t="s">
        <v>28</v>
      </c>
      <c r="H516" t="s">
        <v>18</v>
      </c>
    </row>
    <row r="517" spans="1:9">
      <c r="A517" t="s">
        <v>175</v>
      </c>
      <c r="B517" t="s">
        <v>176</v>
      </c>
      <c r="C517">
        <v>1.5303868060521681E-4</v>
      </c>
      <c r="D517" t="s">
        <v>13</v>
      </c>
      <c r="E517" t="s">
        <v>131</v>
      </c>
      <c r="G517" t="s">
        <v>96</v>
      </c>
      <c r="H517" t="s">
        <v>12</v>
      </c>
    </row>
    <row r="518" spans="1:9">
      <c r="A518" t="s">
        <v>177</v>
      </c>
      <c r="B518" t="s">
        <v>95</v>
      </c>
      <c r="C518">
        <v>5.4000000000000001E-11</v>
      </c>
      <c r="D518" t="s">
        <v>6</v>
      </c>
      <c r="E518" t="s">
        <v>131</v>
      </c>
      <c r="G518" t="s">
        <v>96</v>
      </c>
      <c r="H518" t="s">
        <v>12</v>
      </c>
    </row>
    <row r="519" spans="1:9">
      <c r="A519" t="s">
        <v>27</v>
      </c>
      <c r="B519" t="s">
        <v>20</v>
      </c>
      <c r="C519">
        <v>0.6343270522695631</v>
      </c>
      <c r="D519" t="s">
        <v>19</v>
      </c>
      <c r="E519" t="s">
        <v>131</v>
      </c>
      <c r="G519" t="s">
        <v>28</v>
      </c>
      <c r="H519" t="s">
        <v>12</v>
      </c>
    </row>
    <row r="520" spans="1:9">
      <c r="A520" t="s">
        <v>105</v>
      </c>
      <c r="B520" t="s">
        <v>106</v>
      </c>
      <c r="C520">
        <v>1.1400000000000001E-4</v>
      </c>
      <c r="D520" t="s">
        <v>13</v>
      </c>
      <c r="E520" t="s">
        <v>131</v>
      </c>
      <c r="G520" t="s">
        <v>36</v>
      </c>
      <c r="H520" t="s">
        <v>12</v>
      </c>
    </row>
    <row r="521" spans="1:9">
      <c r="A521" t="s">
        <v>178</v>
      </c>
      <c r="B521" t="s">
        <v>179</v>
      </c>
      <c r="C521">
        <v>1.01E-4</v>
      </c>
      <c r="D521" t="s">
        <v>13</v>
      </c>
      <c r="E521" t="s">
        <v>131</v>
      </c>
      <c r="G521" t="s">
        <v>96</v>
      </c>
      <c r="H521" t="s">
        <v>12</v>
      </c>
    </row>
    <row r="522" spans="1:9">
      <c r="A522" t="s">
        <v>303</v>
      </c>
      <c r="B522" s="13" t="s">
        <v>121</v>
      </c>
      <c r="C522">
        <v>1.91298350756521</v>
      </c>
      <c r="D522" s="26" t="s">
        <v>91</v>
      </c>
      <c r="G522" s="31" t="s">
        <v>134</v>
      </c>
      <c r="H522" t="s">
        <v>12</v>
      </c>
    </row>
    <row r="523" spans="1:9" s="26" customFormat="1">
      <c r="A523" s="31" t="s">
        <v>258</v>
      </c>
      <c r="B523" s="31" t="s">
        <v>258</v>
      </c>
      <c r="C523" s="45">
        <v>1</v>
      </c>
      <c r="D523" s="26" t="s">
        <v>6</v>
      </c>
      <c r="E523"/>
      <c r="F523" s="24"/>
      <c r="G523" s="31" t="s">
        <v>28</v>
      </c>
      <c r="H523" t="s">
        <v>12</v>
      </c>
      <c r="I523" s="24"/>
    </row>
    <row r="524" spans="1:9">
      <c r="A524" t="s">
        <v>138</v>
      </c>
      <c r="B524"/>
      <c r="C524">
        <v>1.7890643766694927</v>
      </c>
      <c r="D524" t="s">
        <v>13</v>
      </c>
      <c r="E524" t="s">
        <v>83</v>
      </c>
      <c r="F524" t="s">
        <v>109</v>
      </c>
      <c r="H524" t="s">
        <v>15</v>
      </c>
    </row>
    <row r="525" spans="1:9">
      <c r="A525" t="s">
        <v>171</v>
      </c>
      <c r="B525"/>
      <c r="C525">
        <v>1.28</v>
      </c>
      <c r="D525" t="s">
        <v>35</v>
      </c>
      <c r="E525" t="s">
        <v>83</v>
      </c>
      <c r="F525" t="s">
        <v>109</v>
      </c>
      <c r="H525" t="s">
        <v>15</v>
      </c>
    </row>
    <row r="526" spans="1:9">
      <c r="A526" t="s">
        <v>172</v>
      </c>
      <c r="B526"/>
      <c r="C526">
        <v>0</v>
      </c>
      <c r="D526" t="s">
        <v>13</v>
      </c>
      <c r="E526" t="s">
        <v>83</v>
      </c>
      <c r="F526" t="s">
        <v>109</v>
      </c>
      <c r="H526" t="s">
        <v>15</v>
      </c>
    </row>
    <row r="527" spans="1:9">
      <c r="A527" t="s">
        <v>110</v>
      </c>
      <c r="B527"/>
      <c r="C527">
        <v>1.4187996E-2</v>
      </c>
      <c r="D527" t="s">
        <v>13</v>
      </c>
      <c r="E527" t="s">
        <v>83</v>
      </c>
      <c r="F527" t="s">
        <v>109</v>
      </c>
      <c r="H527" t="s">
        <v>15</v>
      </c>
    </row>
    <row r="528" spans="1:9">
      <c r="A528" t="s">
        <v>173</v>
      </c>
      <c r="B528"/>
      <c r="C528">
        <v>5.1560000000000002E-2</v>
      </c>
      <c r="D528" t="s">
        <v>13</v>
      </c>
      <c r="E528" t="s">
        <v>83</v>
      </c>
      <c r="F528" t="s">
        <v>25</v>
      </c>
      <c r="H528" t="s">
        <v>15</v>
      </c>
    </row>
    <row r="529" spans="1:8">
      <c r="A529" t="s">
        <v>89</v>
      </c>
      <c r="B529"/>
      <c r="C529">
        <v>6.5989999999999998E-6</v>
      </c>
      <c r="D529" t="s">
        <v>13</v>
      </c>
      <c r="E529" t="s">
        <v>83</v>
      </c>
      <c r="F529" t="s">
        <v>174</v>
      </c>
      <c r="H529" t="s">
        <v>15</v>
      </c>
    </row>
    <row r="530" spans="1:8">
      <c r="A530" s="31" t="s">
        <v>30</v>
      </c>
      <c r="B530" s="31" t="s">
        <v>31</v>
      </c>
      <c r="C530" s="35">
        <v>0.19129835075652102</v>
      </c>
      <c r="D530" s="31" t="s">
        <v>13</v>
      </c>
      <c r="E530" t="s">
        <v>131</v>
      </c>
      <c r="G530" s="31" t="s">
        <v>22</v>
      </c>
      <c r="H530" t="s">
        <v>12</v>
      </c>
    </row>
    <row r="531" spans="1:8">
      <c r="A531" s="31" t="s">
        <v>184</v>
      </c>
      <c r="B531" s="31" t="s">
        <v>185</v>
      </c>
      <c r="C531">
        <v>0</v>
      </c>
      <c r="D531" s="31" t="s">
        <v>13</v>
      </c>
      <c r="E531" t="s">
        <v>131</v>
      </c>
      <c r="G531" s="31" t="s">
        <v>96</v>
      </c>
      <c r="H531" t="s">
        <v>12</v>
      </c>
    </row>
    <row r="532" spans="1:8">
      <c r="A532" s="31" t="s">
        <v>186</v>
      </c>
      <c r="B532" s="31" t="s">
        <v>187</v>
      </c>
      <c r="C532">
        <v>0</v>
      </c>
      <c r="D532" s="31" t="s">
        <v>13</v>
      </c>
      <c r="E532" t="s">
        <v>131</v>
      </c>
      <c r="G532" s="31" t="s">
        <v>96</v>
      </c>
      <c r="H532" t="s">
        <v>12</v>
      </c>
    </row>
    <row r="533" spans="1:8">
      <c r="A533" t="s">
        <v>188</v>
      </c>
      <c r="B533" t="s">
        <v>189</v>
      </c>
      <c r="C533">
        <v>0</v>
      </c>
      <c r="D533" s="31" t="s">
        <v>13</v>
      </c>
      <c r="E533" t="s">
        <v>131</v>
      </c>
      <c r="G533" s="31" t="s">
        <v>96</v>
      </c>
      <c r="H533" t="s">
        <v>12</v>
      </c>
    </row>
    <row r="534" spans="1:8">
      <c r="A534" s="31" t="s">
        <v>190</v>
      </c>
      <c r="B534" s="32" t="s">
        <v>191</v>
      </c>
      <c r="C534">
        <v>0</v>
      </c>
      <c r="D534" s="31" t="s">
        <v>13</v>
      </c>
      <c r="E534" t="s">
        <v>131</v>
      </c>
      <c r="G534" s="31" t="s">
        <v>96</v>
      </c>
      <c r="H534" t="s">
        <v>12</v>
      </c>
    </row>
    <row r="535" spans="1:8">
      <c r="A535" s="31" t="s">
        <v>192</v>
      </c>
      <c r="B535" s="32" t="s">
        <v>193</v>
      </c>
      <c r="C535">
        <v>0</v>
      </c>
      <c r="D535" s="31" t="s">
        <v>13</v>
      </c>
      <c r="E535" t="s">
        <v>131</v>
      </c>
      <c r="G535" s="31" t="s">
        <v>96</v>
      </c>
      <c r="H535" t="s">
        <v>12</v>
      </c>
    </row>
    <row r="536" spans="1:8">
      <c r="A536" s="11" t="s">
        <v>194</v>
      </c>
      <c r="B536" s="32"/>
      <c r="C536">
        <v>0</v>
      </c>
      <c r="D536" s="31" t="s">
        <v>13</v>
      </c>
      <c r="E536" s="31" t="s">
        <v>83</v>
      </c>
      <c r="F536" t="s">
        <v>109</v>
      </c>
      <c r="H536" t="s">
        <v>15</v>
      </c>
    </row>
    <row r="537" spans="1:8">
      <c r="A537" s="11" t="s">
        <v>82</v>
      </c>
      <c r="B537" s="31"/>
      <c r="C537">
        <v>0</v>
      </c>
      <c r="D537" s="31" t="s">
        <v>13</v>
      </c>
      <c r="E537" s="31" t="s">
        <v>83</v>
      </c>
      <c r="F537" t="s">
        <v>109</v>
      </c>
      <c r="H537" t="s">
        <v>15</v>
      </c>
    </row>
    <row r="538" spans="1:8" s="49" customFormat="1">
      <c r="B538" s="50"/>
    </row>
    <row r="539" spans="1:8">
      <c r="A539" s="24" t="s">
        <v>1</v>
      </c>
      <c r="B539" s="24" t="s">
        <v>197</v>
      </c>
    </row>
    <row r="540" spans="1:8">
      <c r="A540" s="27" t="s">
        <v>11</v>
      </c>
      <c r="B540" t="s">
        <v>320</v>
      </c>
    </row>
    <row r="541" spans="1:8">
      <c r="A541" s="27" t="s">
        <v>2</v>
      </c>
      <c r="B541" t="s">
        <v>28</v>
      </c>
    </row>
    <row r="542" spans="1:8">
      <c r="A542" s="27" t="s">
        <v>3</v>
      </c>
      <c r="B542" s="28">
        <v>1</v>
      </c>
    </row>
    <row r="543" spans="1:8">
      <c r="A543" s="27" t="s">
        <v>4</v>
      </c>
      <c r="B543" t="s">
        <v>170</v>
      </c>
    </row>
    <row r="544" spans="1:8">
      <c r="A544" s="27" t="s">
        <v>6</v>
      </c>
      <c r="B544" t="s">
        <v>91</v>
      </c>
    </row>
    <row r="545" spans="1:9">
      <c r="A545" s="27" t="s">
        <v>57</v>
      </c>
      <c r="B545"/>
    </row>
    <row r="546" spans="1:9" ht="15.75">
      <c r="A546" s="18" t="s">
        <v>7</v>
      </c>
      <c r="B546"/>
    </row>
    <row r="547" spans="1:9" s="27" customFormat="1">
      <c r="A547" s="27" t="s">
        <v>8</v>
      </c>
      <c r="B547" s="27" t="s">
        <v>4</v>
      </c>
      <c r="C547" s="27" t="s">
        <v>9</v>
      </c>
      <c r="D547" s="27" t="s">
        <v>6</v>
      </c>
      <c r="E547" s="27" t="s">
        <v>81</v>
      </c>
      <c r="F547" s="27" t="s">
        <v>10</v>
      </c>
      <c r="G547" s="27" t="s">
        <v>2</v>
      </c>
      <c r="H547" s="27" t="s">
        <v>5</v>
      </c>
      <c r="I547" s="27" t="s">
        <v>11</v>
      </c>
    </row>
    <row r="548" spans="1:9">
      <c r="A548" t="s">
        <v>197</v>
      </c>
      <c r="B548" t="s">
        <v>170</v>
      </c>
      <c r="C548">
        <v>1</v>
      </c>
      <c r="D548" t="s">
        <v>91</v>
      </c>
      <c r="E548" s="31"/>
      <c r="G548" t="s">
        <v>28</v>
      </c>
      <c r="H548" t="s">
        <v>18</v>
      </c>
    </row>
    <row r="549" spans="1:9">
      <c r="A549" t="s">
        <v>175</v>
      </c>
      <c r="B549" t="s">
        <v>176</v>
      </c>
      <c r="C549">
        <v>1.5294587364305477E-4</v>
      </c>
      <c r="D549" t="s">
        <v>13</v>
      </c>
      <c r="E549" t="s">
        <v>131</v>
      </c>
      <c r="G549" t="s">
        <v>96</v>
      </c>
      <c r="H549" t="s">
        <v>12</v>
      </c>
    </row>
    <row r="550" spans="1:9">
      <c r="A550" t="s">
        <v>177</v>
      </c>
      <c r="B550" t="s">
        <v>95</v>
      </c>
      <c r="C550">
        <v>5.4000000000000001E-11</v>
      </c>
      <c r="D550" t="s">
        <v>6</v>
      </c>
      <c r="E550" t="s">
        <v>131</v>
      </c>
      <c r="G550" t="s">
        <v>96</v>
      </c>
      <c r="H550" t="s">
        <v>12</v>
      </c>
    </row>
    <row r="551" spans="1:9">
      <c r="A551" t="s">
        <v>27</v>
      </c>
      <c r="B551" t="s">
        <v>20</v>
      </c>
      <c r="C551">
        <v>0.67679502616145548</v>
      </c>
      <c r="D551" t="s">
        <v>19</v>
      </c>
      <c r="E551" t="s">
        <v>131</v>
      </c>
      <c r="G551" t="s">
        <v>28</v>
      </c>
      <c r="H551" t="s">
        <v>12</v>
      </c>
    </row>
    <row r="552" spans="1:9">
      <c r="A552" t="s">
        <v>105</v>
      </c>
      <c r="B552" t="s">
        <v>106</v>
      </c>
      <c r="C552">
        <v>1.1400000000000001E-4</v>
      </c>
      <c r="D552" t="s">
        <v>13</v>
      </c>
      <c r="E552" t="s">
        <v>131</v>
      </c>
      <c r="G552" t="s">
        <v>36</v>
      </c>
      <c r="H552" t="s">
        <v>12</v>
      </c>
    </row>
    <row r="553" spans="1:9">
      <c r="A553" t="s">
        <v>178</v>
      </c>
      <c r="B553" t="s">
        <v>179</v>
      </c>
      <c r="C553">
        <v>1.01E-4</v>
      </c>
      <c r="D553" t="s">
        <v>13</v>
      </c>
      <c r="E553" t="s">
        <v>131</v>
      </c>
      <c r="G553" t="s">
        <v>96</v>
      </c>
      <c r="H553" t="s">
        <v>12</v>
      </c>
    </row>
    <row r="554" spans="1:9">
      <c r="A554" t="s">
        <v>303</v>
      </c>
      <c r="B554" s="13" t="s">
        <v>121</v>
      </c>
      <c r="C554">
        <v>1.9118234205381845</v>
      </c>
      <c r="D554" s="26" t="s">
        <v>91</v>
      </c>
      <c r="G554" s="31" t="s">
        <v>134</v>
      </c>
      <c r="H554" t="s">
        <v>12</v>
      </c>
    </row>
    <row r="555" spans="1:9" s="26" customFormat="1">
      <c r="A555" s="31" t="s">
        <v>258</v>
      </c>
      <c r="B555" s="31" t="s">
        <v>258</v>
      </c>
      <c r="C555" s="45">
        <v>1</v>
      </c>
      <c r="D555" s="26" t="s">
        <v>6</v>
      </c>
      <c r="E555"/>
      <c r="F555" s="24"/>
      <c r="G555" s="31" t="s">
        <v>28</v>
      </c>
      <c r="H555" t="s">
        <v>12</v>
      </c>
      <c r="I555" s="24"/>
    </row>
    <row r="556" spans="1:9">
      <c r="A556" t="s">
        <v>138</v>
      </c>
      <c r="B556"/>
      <c r="C556">
        <v>1.7695466599821643</v>
      </c>
      <c r="D556" t="s">
        <v>13</v>
      </c>
      <c r="E556" t="s">
        <v>83</v>
      </c>
      <c r="F556" t="s">
        <v>109</v>
      </c>
      <c r="H556" t="s">
        <v>15</v>
      </c>
    </row>
    <row r="557" spans="1:9">
      <c r="A557" t="s">
        <v>171</v>
      </c>
      <c r="B557"/>
      <c r="C557">
        <v>1.28</v>
      </c>
      <c r="D557" t="s">
        <v>35</v>
      </c>
      <c r="E557" t="s">
        <v>83</v>
      </c>
      <c r="F557" t="s">
        <v>109</v>
      </c>
      <c r="H557" t="s">
        <v>15</v>
      </c>
    </row>
    <row r="558" spans="1:9">
      <c r="A558" t="s">
        <v>172</v>
      </c>
      <c r="B558"/>
      <c r="C558">
        <v>0</v>
      </c>
      <c r="D558" t="s">
        <v>13</v>
      </c>
      <c r="E558" t="s">
        <v>83</v>
      </c>
      <c r="F558" t="s">
        <v>109</v>
      </c>
      <c r="H558" t="s">
        <v>15</v>
      </c>
    </row>
    <row r="559" spans="1:9">
      <c r="A559" t="s">
        <v>110</v>
      </c>
      <c r="B559"/>
      <c r="C559">
        <v>2.1269088000000002E-2</v>
      </c>
      <c r="D559" t="s">
        <v>13</v>
      </c>
      <c r="E559" t="s">
        <v>83</v>
      </c>
      <c r="F559" t="s">
        <v>109</v>
      </c>
      <c r="H559" t="s">
        <v>15</v>
      </c>
    </row>
    <row r="560" spans="1:9">
      <c r="A560" t="s">
        <v>173</v>
      </c>
      <c r="B560"/>
      <c r="C560">
        <v>5.1560000000000002E-2</v>
      </c>
      <c r="D560" t="s">
        <v>13</v>
      </c>
      <c r="E560" t="s">
        <v>83</v>
      </c>
      <c r="F560" t="s">
        <v>25</v>
      </c>
      <c r="H560" t="s">
        <v>15</v>
      </c>
    </row>
    <row r="561" spans="1:8">
      <c r="A561" t="s">
        <v>89</v>
      </c>
      <c r="B561"/>
      <c r="C561">
        <v>6.5989999999999998E-6</v>
      </c>
      <c r="D561" t="s">
        <v>13</v>
      </c>
      <c r="E561" t="s">
        <v>83</v>
      </c>
      <c r="F561" t="s">
        <v>174</v>
      </c>
      <c r="H561" t="s">
        <v>15</v>
      </c>
    </row>
    <row r="562" spans="1:8">
      <c r="A562" s="31" t="s">
        <v>30</v>
      </c>
      <c r="B562" s="31" t="s">
        <v>31</v>
      </c>
      <c r="C562" s="36">
        <v>0</v>
      </c>
      <c r="D562" s="31" t="s">
        <v>13</v>
      </c>
      <c r="E562" t="s">
        <v>131</v>
      </c>
      <c r="G562" s="31" t="s">
        <v>22</v>
      </c>
      <c r="H562" t="s">
        <v>12</v>
      </c>
    </row>
    <row r="563" spans="1:8">
      <c r="A563" s="31" t="s">
        <v>184</v>
      </c>
      <c r="B563" s="31" t="s">
        <v>185</v>
      </c>
      <c r="C563">
        <v>2.0799999999999999E-4</v>
      </c>
      <c r="D563" s="31" t="s">
        <v>13</v>
      </c>
      <c r="E563" t="s">
        <v>131</v>
      </c>
      <c r="G563" s="31" t="s">
        <v>96</v>
      </c>
      <c r="H563" t="s">
        <v>12</v>
      </c>
    </row>
    <row r="564" spans="1:8">
      <c r="A564" s="31" t="s">
        <v>186</v>
      </c>
      <c r="B564" s="31" t="s">
        <v>187</v>
      </c>
      <c r="C564">
        <v>0</v>
      </c>
      <c r="D564" s="31" t="s">
        <v>13</v>
      </c>
      <c r="E564" t="s">
        <v>131</v>
      </c>
      <c r="G564" s="31" t="s">
        <v>96</v>
      </c>
      <c r="H564" t="s">
        <v>12</v>
      </c>
    </row>
    <row r="565" spans="1:8">
      <c r="A565" t="s">
        <v>188</v>
      </c>
      <c r="B565" t="s">
        <v>189</v>
      </c>
      <c r="C565">
        <v>3.98E-6</v>
      </c>
      <c r="D565" s="31" t="s">
        <v>13</v>
      </c>
      <c r="E565" t="s">
        <v>131</v>
      </c>
      <c r="G565" s="31" t="s">
        <v>96</v>
      </c>
      <c r="H565" t="s">
        <v>12</v>
      </c>
    </row>
    <row r="566" spans="1:8">
      <c r="A566" s="31" t="s">
        <v>190</v>
      </c>
      <c r="B566" s="32" t="s">
        <v>191</v>
      </c>
      <c r="C566">
        <v>0</v>
      </c>
      <c r="D566" s="31" t="s">
        <v>13</v>
      </c>
      <c r="E566" t="s">
        <v>131</v>
      </c>
      <c r="G566" s="31" t="s">
        <v>96</v>
      </c>
      <c r="H566" t="s">
        <v>12</v>
      </c>
    </row>
    <row r="567" spans="1:8">
      <c r="A567" s="31" t="s">
        <v>192</v>
      </c>
      <c r="B567" s="32" t="s">
        <v>193</v>
      </c>
      <c r="C567">
        <v>0</v>
      </c>
      <c r="D567" s="31" t="s">
        <v>13</v>
      </c>
      <c r="E567" t="s">
        <v>131</v>
      </c>
      <c r="G567" s="31" t="s">
        <v>96</v>
      </c>
      <c r="H567" t="s">
        <v>12</v>
      </c>
    </row>
    <row r="568" spans="1:8">
      <c r="A568" s="11" t="s">
        <v>194</v>
      </c>
      <c r="B568" s="32"/>
      <c r="C568">
        <v>0</v>
      </c>
      <c r="D568" s="31" t="s">
        <v>13</v>
      </c>
      <c r="E568" s="31" t="s">
        <v>83</v>
      </c>
      <c r="F568" t="s">
        <v>109</v>
      </c>
      <c r="H568" t="s">
        <v>15</v>
      </c>
    </row>
    <row r="569" spans="1:8">
      <c r="A569" s="11" t="s">
        <v>82</v>
      </c>
      <c r="B569" s="31"/>
      <c r="C569">
        <v>0</v>
      </c>
      <c r="D569" s="31" t="s">
        <v>13</v>
      </c>
      <c r="E569" s="31" t="s">
        <v>83</v>
      </c>
      <c r="F569" t="s">
        <v>109</v>
      </c>
      <c r="H569" t="s">
        <v>15</v>
      </c>
    </row>
    <row r="570" spans="1:8" s="49" customFormat="1">
      <c r="B570" s="50"/>
    </row>
    <row r="571" spans="1:8">
      <c r="A571" s="24" t="s">
        <v>1</v>
      </c>
      <c r="B571" s="24" t="s">
        <v>198</v>
      </c>
    </row>
    <row r="572" spans="1:8">
      <c r="A572" s="27" t="s">
        <v>11</v>
      </c>
      <c r="B572" t="s">
        <v>321</v>
      </c>
    </row>
    <row r="573" spans="1:8">
      <c r="A573" s="27" t="s">
        <v>2</v>
      </c>
      <c r="B573" t="s">
        <v>28</v>
      </c>
    </row>
    <row r="574" spans="1:8">
      <c r="A574" s="27" t="s">
        <v>3</v>
      </c>
      <c r="B574" s="28">
        <v>1</v>
      </c>
    </row>
    <row r="575" spans="1:8">
      <c r="A575" s="27" t="s">
        <v>4</v>
      </c>
      <c r="B575" t="s">
        <v>170</v>
      </c>
    </row>
    <row r="576" spans="1:8">
      <c r="A576" s="27" t="s">
        <v>6</v>
      </c>
      <c r="B576" t="s">
        <v>91</v>
      </c>
    </row>
    <row r="577" spans="1:9">
      <c r="A577" s="27" t="s">
        <v>57</v>
      </c>
      <c r="B577"/>
    </row>
    <row r="578" spans="1:9" ht="15.75">
      <c r="A578" s="18" t="s">
        <v>7</v>
      </c>
      <c r="B578"/>
    </row>
    <row r="579" spans="1:9">
      <c r="A579" s="27" t="s">
        <v>8</v>
      </c>
      <c r="B579" s="27" t="s">
        <v>4</v>
      </c>
      <c r="C579" s="27" t="s">
        <v>9</v>
      </c>
      <c r="D579" s="27" t="s">
        <v>6</v>
      </c>
      <c r="E579" s="27" t="s">
        <v>81</v>
      </c>
      <c r="F579" s="27" t="s">
        <v>10</v>
      </c>
      <c r="G579" s="27" t="s">
        <v>2</v>
      </c>
      <c r="H579" s="27" t="s">
        <v>5</v>
      </c>
      <c r="I579" s="27" t="s">
        <v>11</v>
      </c>
    </row>
    <row r="580" spans="1:9">
      <c r="A580" t="s">
        <v>198</v>
      </c>
      <c r="B580" t="s">
        <v>170</v>
      </c>
      <c r="C580">
        <v>1</v>
      </c>
      <c r="D580" t="s">
        <v>91</v>
      </c>
      <c r="E580" s="31"/>
      <c r="G580" t="s">
        <v>28</v>
      </c>
      <c r="H580" t="s">
        <v>18</v>
      </c>
    </row>
    <row r="581" spans="1:9">
      <c r="A581" t="s">
        <v>175</v>
      </c>
      <c r="B581" t="s">
        <v>176</v>
      </c>
      <c r="C581">
        <v>1.5029864785434452E-4</v>
      </c>
      <c r="D581" t="s">
        <v>13</v>
      </c>
      <c r="E581" t="s">
        <v>131</v>
      </c>
      <c r="G581" t="s">
        <v>96</v>
      </c>
      <c r="H581" t="s">
        <v>12</v>
      </c>
    </row>
    <row r="582" spans="1:9">
      <c r="A582" t="s">
        <v>177</v>
      </c>
      <c r="B582" t="s">
        <v>95</v>
      </c>
      <c r="C582">
        <v>0</v>
      </c>
      <c r="D582" t="s">
        <v>6</v>
      </c>
      <c r="E582" t="s">
        <v>131</v>
      </c>
      <c r="G582" t="s">
        <v>96</v>
      </c>
      <c r="H582" t="s">
        <v>12</v>
      </c>
    </row>
    <row r="583" spans="1:9">
      <c r="A583" t="s">
        <v>27</v>
      </c>
      <c r="B583" t="s">
        <v>20</v>
      </c>
      <c r="C583">
        <v>0.6575565843627571</v>
      </c>
      <c r="D583" t="s">
        <v>19</v>
      </c>
      <c r="E583" t="s">
        <v>131</v>
      </c>
      <c r="G583" t="s">
        <v>28</v>
      </c>
      <c r="H583" t="s">
        <v>12</v>
      </c>
    </row>
    <row r="584" spans="1:9">
      <c r="A584" t="s">
        <v>105</v>
      </c>
      <c r="B584" t="s">
        <v>106</v>
      </c>
      <c r="C584">
        <v>0</v>
      </c>
      <c r="D584" t="s">
        <v>13</v>
      </c>
      <c r="E584" t="s">
        <v>131</v>
      </c>
      <c r="G584" t="s">
        <v>36</v>
      </c>
      <c r="H584" t="s">
        <v>12</v>
      </c>
    </row>
    <row r="585" spans="1:9">
      <c r="A585" t="s">
        <v>178</v>
      </c>
      <c r="B585" t="s">
        <v>179</v>
      </c>
      <c r="C585">
        <v>0</v>
      </c>
      <c r="D585" t="s">
        <v>13</v>
      </c>
      <c r="E585" t="s">
        <v>131</v>
      </c>
      <c r="G585" t="s">
        <v>96</v>
      </c>
      <c r="H585" t="s">
        <v>12</v>
      </c>
    </row>
    <row r="586" spans="1:9">
      <c r="A586" t="s">
        <v>303</v>
      </c>
      <c r="B586" s="13" t="s">
        <v>121</v>
      </c>
      <c r="C586">
        <v>1.8787330981793062</v>
      </c>
      <c r="D586" s="26" t="s">
        <v>91</v>
      </c>
      <c r="G586" s="31" t="s">
        <v>134</v>
      </c>
      <c r="H586" t="s">
        <v>12</v>
      </c>
    </row>
    <row r="587" spans="1:9" s="26" customFormat="1">
      <c r="A587" s="31" t="s">
        <v>258</v>
      </c>
      <c r="B587" s="31" t="s">
        <v>258</v>
      </c>
      <c r="C587" s="45">
        <v>1</v>
      </c>
      <c r="D587" s="26" t="s">
        <v>6</v>
      </c>
      <c r="E587"/>
      <c r="F587" s="24"/>
      <c r="G587" s="31" t="s">
        <v>28</v>
      </c>
      <c r="H587" t="s">
        <v>12</v>
      </c>
      <c r="I587" s="24"/>
    </row>
    <row r="588" spans="1:9">
      <c r="A588" t="s">
        <v>138</v>
      </c>
      <c r="B588"/>
      <c r="C588">
        <v>1.7592062868727893</v>
      </c>
      <c r="D588" t="s">
        <v>13</v>
      </c>
      <c r="E588" t="s">
        <v>83</v>
      </c>
      <c r="F588" t="s">
        <v>109</v>
      </c>
      <c r="H588" t="s">
        <v>15</v>
      </c>
    </row>
    <row r="589" spans="1:9">
      <c r="A589" t="s">
        <v>171</v>
      </c>
      <c r="B589"/>
      <c r="C589">
        <v>0</v>
      </c>
      <c r="D589" t="s">
        <v>35</v>
      </c>
      <c r="E589" t="s">
        <v>83</v>
      </c>
      <c r="F589" t="s">
        <v>109</v>
      </c>
      <c r="H589" t="s">
        <v>15</v>
      </c>
    </row>
    <row r="590" spans="1:9">
      <c r="A590" t="s">
        <v>172</v>
      </c>
      <c r="B590"/>
      <c r="C590">
        <v>0</v>
      </c>
      <c r="D590" t="s">
        <v>13</v>
      </c>
      <c r="E590" t="s">
        <v>83</v>
      </c>
      <c r="F590" t="s">
        <v>109</v>
      </c>
      <c r="H590" t="s">
        <v>15</v>
      </c>
    </row>
    <row r="591" spans="1:9">
      <c r="A591" t="s">
        <v>110</v>
      </c>
      <c r="B591"/>
      <c r="C591">
        <v>3.4834928759999994E-4</v>
      </c>
      <c r="D591" t="s">
        <v>13</v>
      </c>
      <c r="E591" t="s">
        <v>83</v>
      </c>
      <c r="F591" t="s">
        <v>109</v>
      </c>
      <c r="H591" t="s">
        <v>15</v>
      </c>
    </row>
    <row r="592" spans="1:9">
      <c r="A592" t="s">
        <v>173</v>
      </c>
      <c r="B592"/>
      <c r="C592">
        <v>0</v>
      </c>
      <c r="D592" t="s">
        <v>13</v>
      </c>
      <c r="E592" t="s">
        <v>83</v>
      </c>
      <c r="F592" t="s">
        <v>25</v>
      </c>
      <c r="H592" t="s">
        <v>15</v>
      </c>
    </row>
    <row r="593" spans="1:8">
      <c r="A593" t="s">
        <v>89</v>
      </c>
      <c r="B593"/>
      <c r="C593">
        <v>0</v>
      </c>
      <c r="D593" t="s">
        <v>13</v>
      </c>
      <c r="E593" t="s">
        <v>83</v>
      </c>
      <c r="F593" t="s">
        <v>174</v>
      </c>
      <c r="H593" t="s">
        <v>15</v>
      </c>
    </row>
    <row r="594" spans="1:8">
      <c r="A594" s="31" t="s">
        <v>30</v>
      </c>
      <c r="B594" s="31" t="s">
        <v>31</v>
      </c>
      <c r="C594" s="36">
        <v>0</v>
      </c>
      <c r="D594" s="31" t="s">
        <v>13</v>
      </c>
      <c r="E594" t="s">
        <v>131</v>
      </c>
      <c r="G594" s="31" t="s">
        <v>22</v>
      </c>
      <c r="H594" t="s">
        <v>12</v>
      </c>
    </row>
    <row r="595" spans="1:8">
      <c r="A595" s="31" t="s">
        <v>184</v>
      </c>
      <c r="B595" s="31" t="s">
        <v>185</v>
      </c>
      <c r="C595">
        <v>0</v>
      </c>
      <c r="D595" s="31" t="s">
        <v>13</v>
      </c>
      <c r="E595" t="s">
        <v>131</v>
      </c>
      <c r="G595" s="31" t="s">
        <v>96</v>
      </c>
      <c r="H595" t="s">
        <v>12</v>
      </c>
    </row>
    <row r="596" spans="1:8">
      <c r="A596" s="31" t="s">
        <v>186</v>
      </c>
      <c r="B596" s="31" t="s">
        <v>187</v>
      </c>
      <c r="C596">
        <v>0</v>
      </c>
      <c r="D596" s="31" t="s">
        <v>13</v>
      </c>
      <c r="E596" t="s">
        <v>131</v>
      </c>
      <c r="G596" s="31" t="s">
        <v>96</v>
      </c>
      <c r="H596" t="s">
        <v>12</v>
      </c>
    </row>
    <row r="597" spans="1:8">
      <c r="A597" t="s">
        <v>188</v>
      </c>
      <c r="B597" t="s">
        <v>189</v>
      </c>
      <c r="C597">
        <v>0</v>
      </c>
      <c r="D597" s="31" t="s">
        <v>13</v>
      </c>
      <c r="E597" t="s">
        <v>131</v>
      </c>
      <c r="G597" s="31" t="s">
        <v>96</v>
      </c>
      <c r="H597" t="s">
        <v>12</v>
      </c>
    </row>
    <row r="598" spans="1:8">
      <c r="A598" s="31" t="s">
        <v>190</v>
      </c>
      <c r="B598" s="32" t="s">
        <v>191</v>
      </c>
      <c r="C598">
        <v>0</v>
      </c>
      <c r="D598" s="31" t="s">
        <v>13</v>
      </c>
      <c r="E598" t="s">
        <v>131</v>
      </c>
      <c r="G598" s="31" t="s">
        <v>96</v>
      </c>
      <c r="H598" t="s">
        <v>12</v>
      </c>
    </row>
    <row r="599" spans="1:8">
      <c r="A599" s="31" t="s">
        <v>192</v>
      </c>
      <c r="B599" s="32" t="s">
        <v>193</v>
      </c>
      <c r="C599">
        <v>0</v>
      </c>
      <c r="D599" s="31" t="s">
        <v>13</v>
      </c>
      <c r="E599" t="s">
        <v>131</v>
      </c>
      <c r="G599" s="31" t="s">
        <v>96</v>
      </c>
      <c r="H599" t="s">
        <v>12</v>
      </c>
    </row>
    <row r="600" spans="1:8">
      <c r="A600" s="11" t="s">
        <v>194</v>
      </c>
      <c r="B600" s="32"/>
      <c r="C600">
        <v>0</v>
      </c>
      <c r="D600" s="31" t="s">
        <v>13</v>
      </c>
      <c r="E600" s="31" t="s">
        <v>83</v>
      </c>
      <c r="F600" t="s">
        <v>109</v>
      </c>
      <c r="H600" t="s">
        <v>15</v>
      </c>
    </row>
    <row r="601" spans="1:8">
      <c r="A601" s="11" t="s">
        <v>82</v>
      </c>
      <c r="B601" s="31"/>
      <c r="C601">
        <v>0</v>
      </c>
      <c r="D601" s="31" t="s">
        <v>13</v>
      </c>
      <c r="E601" s="31" t="s">
        <v>83</v>
      </c>
      <c r="F601" t="s">
        <v>109</v>
      </c>
      <c r="H601" t="s">
        <v>15</v>
      </c>
    </row>
    <row r="602" spans="1:8" s="49" customFormat="1">
      <c r="B602" s="50"/>
    </row>
    <row r="603" spans="1:8">
      <c r="A603" s="24" t="s">
        <v>1</v>
      </c>
      <c r="B603" s="24" t="s">
        <v>247</v>
      </c>
    </row>
    <row r="604" spans="1:8">
      <c r="A604" s="27" t="s">
        <v>11</v>
      </c>
      <c r="B604" t="s">
        <v>322</v>
      </c>
    </row>
    <row r="605" spans="1:8">
      <c r="A605" s="27" t="s">
        <v>2</v>
      </c>
      <c r="B605" t="s">
        <v>28</v>
      </c>
    </row>
    <row r="606" spans="1:8">
      <c r="A606" s="27" t="s">
        <v>3</v>
      </c>
      <c r="B606" s="28">
        <v>1</v>
      </c>
    </row>
    <row r="607" spans="1:8">
      <c r="A607" s="27" t="s">
        <v>4</v>
      </c>
      <c r="B607" t="s">
        <v>170</v>
      </c>
    </row>
    <row r="608" spans="1:8">
      <c r="A608" s="27" t="s">
        <v>6</v>
      </c>
      <c r="B608" t="s">
        <v>91</v>
      </c>
    </row>
    <row r="609" spans="1:9">
      <c r="A609" s="27" t="s">
        <v>57</v>
      </c>
      <c r="B609"/>
    </row>
    <row r="610" spans="1:9" ht="15.75">
      <c r="A610" s="18" t="s">
        <v>7</v>
      </c>
      <c r="B610"/>
    </row>
    <row r="611" spans="1:9" s="27" customFormat="1">
      <c r="A611" s="27" t="s">
        <v>8</v>
      </c>
      <c r="B611" s="27" t="s">
        <v>4</v>
      </c>
      <c r="C611" s="27" t="s">
        <v>9</v>
      </c>
      <c r="D611" s="27" t="s">
        <v>6</v>
      </c>
      <c r="E611" s="27" t="s">
        <v>81</v>
      </c>
      <c r="F611" s="27" t="s">
        <v>10</v>
      </c>
      <c r="G611" s="27" t="s">
        <v>2</v>
      </c>
      <c r="H611" s="27" t="s">
        <v>5</v>
      </c>
      <c r="I611" s="27" t="s">
        <v>11</v>
      </c>
    </row>
    <row r="612" spans="1:9">
      <c r="A612" t="s">
        <v>247</v>
      </c>
      <c r="B612" t="s">
        <v>170</v>
      </c>
      <c r="C612">
        <v>1</v>
      </c>
      <c r="D612" t="s">
        <v>91</v>
      </c>
      <c r="E612" s="31"/>
      <c r="G612" t="s">
        <v>28</v>
      </c>
      <c r="H612" t="s">
        <v>18</v>
      </c>
    </row>
    <row r="613" spans="1:9">
      <c r="A613" t="s">
        <v>175</v>
      </c>
      <c r="B613" t="s">
        <v>176</v>
      </c>
      <c r="C613">
        <v>1.5153830138359706E-4</v>
      </c>
      <c r="D613" t="s">
        <v>13</v>
      </c>
      <c r="E613" t="s">
        <v>131</v>
      </c>
      <c r="G613" t="s">
        <v>96</v>
      </c>
      <c r="H613" t="s">
        <v>12</v>
      </c>
    </row>
    <row r="614" spans="1:9">
      <c r="A614" t="s">
        <v>177</v>
      </c>
      <c r="B614" t="s">
        <v>95</v>
      </c>
      <c r="C614">
        <v>5.4000000000000001E-11</v>
      </c>
      <c r="D614" t="s">
        <v>6</v>
      </c>
      <c r="E614" t="s">
        <v>131</v>
      </c>
      <c r="G614" t="s">
        <v>96</v>
      </c>
      <c r="H614" t="s">
        <v>12</v>
      </c>
    </row>
    <row r="615" spans="1:9">
      <c r="A615" t="s">
        <v>27</v>
      </c>
      <c r="B615" t="s">
        <v>20</v>
      </c>
      <c r="C615">
        <v>0.9818888836474815</v>
      </c>
      <c r="D615" t="s">
        <v>19</v>
      </c>
      <c r="E615" t="s">
        <v>131</v>
      </c>
      <c r="G615" t="s">
        <v>28</v>
      </c>
      <c r="H615" t="s">
        <v>12</v>
      </c>
    </row>
    <row r="616" spans="1:9">
      <c r="A616" t="s">
        <v>105</v>
      </c>
      <c r="B616" t="s">
        <v>106</v>
      </c>
      <c r="C616">
        <v>1.1400000000000001E-4</v>
      </c>
      <c r="D616" t="s">
        <v>13</v>
      </c>
      <c r="E616" t="s">
        <v>131</v>
      </c>
      <c r="G616" t="s">
        <v>36</v>
      </c>
      <c r="H616" t="s">
        <v>12</v>
      </c>
    </row>
    <row r="617" spans="1:9">
      <c r="A617" t="s">
        <v>178</v>
      </c>
      <c r="B617" t="s">
        <v>179</v>
      </c>
      <c r="C617">
        <v>1.01E-4</v>
      </c>
      <c r="D617" t="s">
        <v>13</v>
      </c>
      <c r="E617" t="s">
        <v>131</v>
      </c>
      <c r="G617" t="s">
        <v>96</v>
      </c>
      <c r="H617" t="s">
        <v>12</v>
      </c>
    </row>
    <row r="618" spans="1:9">
      <c r="A618" t="s">
        <v>303</v>
      </c>
      <c r="B618" s="13" t="s">
        <v>121</v>
      </c>
      <c r="C618">
        <v>1.8942287672949629</v>
      </c>
      <c r="D618" s="26" t="s">
        <v>91</v>
      </c>
      <c r="G618" s="31" t="s">
        <v>134</v>
      </c>
      <c r="H618" t="s">
        <v>12</v>
      </c>
    </row>
    <row r="619" spans="1:9" s="26" customFormat="1">
      <c r="A619" s="31" t="s">
        <v>258</v>
      </c>
      <c r="B619" s="31" t="s">
        <v>258</v>
      </c>
      <c r="C619" s="45">
        <v>1</v>
      </c>
      <c r="D619" s="26" t="s">
        <v>6</v>
      </c>
      <c r="E619"/>
      <c r="F619" s="24"/>
      <c r="G619" s="31" t="s">
        <v>28</v>
      </c>
      <c r="H619" t="s">
        <v>12</v>
      </c>
      <c r="I619" s="24"/>
    </row>
    <row r="620" spans="1:9">
      <c r="A620" t="s">
        <v>138</v>
      </c>
      <c r="B620"/>
      <c r="C620">
        <v>1.826313948288041E-2</v>
      </c>
      <c r="D620" t="s">
        <v>13</v>
      </c>
      <c r="E620" t="s">
        <v>83</v>
      </c>
      <c r="F620" t="s">
        <v>109</v>
      </c>
      <c r="H620" t="s">
        <v>15</v>
      </c>
    </row>
    <row r="621" spans="1:9">
      <c r="A621" t="s">
        <v>171</v>
      </c>
      <c r="B621"/>
      <c r="C621">
        <v>1.28</v>
      </c>
      <c r="D621" t="s">
        <v>35</v>
      </c>
      <c r="E621" t="s">
        <v>83</v>
      </c>
      <c r="F621" t="s">
        <v>109</v>
      </c>
      <c r="H621" t="s">
        <v>15</v>
      </c>
    </row>
    <row r="622" spans="1:9">
      <c r="A622" t="s">
        <v>172</v>
      </c>
      <c r="B622"/>
      <c r="C622">
        <v>0</v>
      </c>
      <c r="D622" t="s">
        <v>13</v>
      </c>
      <c r="E622" t="s">
        <v>83</v>
      </c>
      <c r="F622" t="s">
        <v>109</v>
      </c>
      <c r="H622" t="s">
        <v>15</v>
      </c>
    </row>
    <row r="623" spans="1:9">
      <c r="A623" t="s">
        <v>110</v>
      </c>
      <c r="B623"/>
      <c r="C623">
        <v>7.0244489999999995E-3</v>
      </c>
      <c r="D623" t="s">
        <v>13</v>
      </c>
      <c r="E623" t="s">
        <v>83</v>
      </c>
      <c r="F623" t="s">
        <v>109</v>
      </c>
      <c r="H623" t="s">
        <v>15</v>
      </c>
    </row>
    <row r="624" spans="1:9">
      <c r="A624" t="s">
        <v>173</v>
      </c>
      <c r="B624"/>
      <c r="C624">
        <v>5.1560000000000002E-2</v>
      </c>
      <c r="D624" t="s">
        <v>13</v>
      </c>
      <c r="E624" t="s">
        <v>83</v>
      </c>
      <c r="F624" t="s">
        <v>25</v>
      </c>
      <c r="H624" t="s">
        <v>15</v>
      </c>
    </row>
    <row r="625" spans="1:9">
      <c r="A625" t="s">
        <v>89</v>
      </c>
      <c r="B625"/>
      <c r="C625">
        <v>6.5989999999999998E-6</v>
      </c>
      <c r="D625" t="s">
        <v>13</v>
      </c>
      <c r="E625" t="s">
        <v>83</v>
      </c>
      <c r="F625" t="s">
        <v>174</v>
      </c>
      <c r="H625" t="s">
        <v>15</v>
      </c>
    </row>
    <row r="626" spans="1:9" s="49" customFormat="1">
      <c r="B626" s="50"/>
    </row>
    <row r="627" spans="1:9">
      <c r="A627" s="24" t="s">
        <v>1</v>
      </c>
      <c r="B627" s="24" t="s">
        <v>248</v>
      </c>
    </row>
    <row r="628" spans="1:9">
      <c r="A628" s="27" t="s">
        <v>11</v>
      </c>
      <c r="B628" t="s">
        <v>323</v>
      </c>
    </row>
    <row r="629" spans="1:9">
      <c r="A629" s="27" t="s">
        <v>2</v>
      </c>
      <c r="B629" t="s">
        <v>28</v>
      </c>
    </row>
    <row r="630" spans="1:9">
      <c r="A630" s="27" t="s">
        <v>3</v>
      </c>
      <c r="B630" s="28">
        <v>1</v>
      </c>
    </row>
    <row r="631" spans="1:9">
      <c r="A631" s="27" t="s">
        <v>4</v>
      </c>
      <c r="B631" t="s">
        <v>170</v>
      </c>
    </row>
    <row r="632" spans="1:9">
      <c r="A632" s="27" t="s">
        <v>6</v>
      </c>
      <c r="B632" t="s">
        <v>91</v>
      </c>
    </row>
    <row r="633" spans="1:9">
      <c r="A633" s="27" t="s">
        <v>57</v>
      </c>
      <c r="B633"/>
    </row>
    <row r="634" spans="1:9" ht="15.75">
      <c r="A634" s="18" t="s">
        <v>7</v>
      </c>
      <c r="B634"/>
    </row>
    <row r="635" spans="1:9" s="27" customFormat="1">
      <c r="A635" s="27" t="s">
        <v>8</v>
      </c>
      <c r="B635" s="27" t="s">
        <v>4</v>
      </c>
      <c r="C635" s="27" t="s">
        <v>9</v>
      </c>
      <c r="D635" s="27" t="s">
        <v>6</v>
      </c>
      <c r="E635" s="27" t="s">
        <v>81</v>
      </c>
      <c r="F635" s="27" t="s">
        <v>10</v>
      </c>
      <c r="G635" s="27" t="s">
        <v>2</v>
      </c>
      <c r="H635" s="27" t="s">
        <v>5</v>
      </c>
      <c r="I635" s="27" t="s">
        <v>11</v>
      </c>
    </row>
    <row r="636" spans="1:9">
      <c r="A636" t="s">
        <v>248</v>
      </c>
      <c r="B636" t="s">
        <v>170</v>
      </c>
      <c r="C636">
        <v>1</v>
      </c>
      <c r="D636" t="s">
        <v>91</v>
      </c>
      <c r="E636" s="31"/>
      <c r="G636" t="s">
        <v>28</v>
      </c>
      <c r="H636" t="s">
        <v>18</v>
      </c>
    </row>
    <row r="637" spans="1:9">
      <c r="A637" t="s">
        <v>175</v>
      </c>
      <c r="B637" t="s">
        <v>176</v>
      </c>
      <c r="C637">
        <v>1.5328461905494623E-4</v>
      </c>
      <c r="D637" t="s">
        <v>13</v>
      </c>
      <c r="E637" t="s">
        <v>131</v>
      </c>
      <c r="G637" t="s">
        <v>96</v>
      </c>
      <c r="H637" t="s">
        <v>12</v>
      </c>
    </row>
    <row r="638" spans="1:9">
      <c r="A638" t="s">
        <v>177</v>
      </c>
      <c r="B638" t="s">
        <v>95</v>
      </c>
      <c r="C638">
        <v>5.4000000000000001E-11</v>
      </c>
      <c r="D638" t="s">
        <v>6</v>
      </c>
      <c r="E638" t="s">
        <v>131</v>
      </c>
      <c r="G638" t="s">
        <v>96</v>
      </c>
      <c r="H638" t="s">
        <v>12</v>
      </c>
    </row>
    <row r="639" spans="1:9">
      <c r="A639" t="s">
        <v>27</v>
      </c>
      <c r="B639" t="s">
        <v>20</v>
      </c>
      <c r="C639">
        <v>0.76289810836538974</v>
      </c>
      <c r="D639" t="s">
        <v>19</v>
      </c>
      <c r="E639" t="s">
        <v>131</v>
      </c>
      <c r="G639" t="s">
        <v>28</v>
      </c>
      <c r="H639" t="s">
        <v>12</v>
      </c>
    </row>
    <row r="640" spans="1:9">
      <c r="A640" t="s">
        <v>105</v>
      </c>
      <c r="B640" t="s">
        <v>106</v>
      </c>
      <c r="C640">
        <v>1.1400000000000001E-4</v>
      </c>
      <c r="D640" t="s">
        <v>13</v>
      </c>
      <c r="E640" t="s">
        <v>131</v>
      </c>
      <c r="G640" t="s">
        <v>36</v>
      </c>
      <c r="H640" t="s">
        <v>12</v>
      </c>
    </row>
    <row r="641" spans="1:9">
      <c r="A641" t="s">
        <v>178</v>
      </c>
      <c r="B641" t="s">
        <v>179</v>
      </c>
      <c r="C641">
        <v>1.01E-4</v>
      </c>
      <c r="D641" t="s">
        <v>13</v>
      </c>
      <c r="E641" t="s">
        <v>131</v>
      </c>
      <c r="G641" t="s">
        <v>96</v>
      </c>
      <c r="H641" t="s">
        <v>12</v>
      </c>
    </row>
    <row r="642" spans="1:9">
      <c r="A642" t="s">
        <v>303</v>
      </c>
      <c r="B642" s="13" t="s">
        <v>121</v>
      </c>
      <c r="C642">
        <v>1.9160577381868278</v>
      </c>
      <c r="D642" s="26" t="s">
        <v>91</v>
      </c>
      <c r="G642" s="31" t="s">
        <v>134</v>
      </c>
      <c r="H642" t="s">
        <v>12</v>
      </c>
    </row>
    <row r="643" spans="1:9" s="26" customFormat="1">
      <c r="A643" s="31" t="s">
        <v>258</v>
      </c>
      <c r="B643" s="31" t="s">
        <v>258</v>
      </c>
      <c r="C643" s="45">
        <v>1</v>
      </c>
      <c r="D643" s="26" t="s">
        <v>6</v>
      </c>
      <c r="E643"/>
      <c r="F643" s="24"/>
      <c r="G643" s="31" t="s">
        <v>28</v>
      </c>
      <c r="H643" t="s">
        <v>12</v>
      </c>
      <c r="I643" s="24"/>
    </row>
    <row r="644" spans="1:9">
      <c r="A644" t="s">
        <v>138</v>
      </c>
      <c r="B644"/>
      <c r="C644">
        <v>1.8473602731590951E-3</v>
      </c>
      <c r="D644" t="s">
        <v>13</v>
      </c>
      <c r="E644" t="s">
        <v>83</v>
      </c>
      <c r="F644" t="s">
        <v>109</v>
      </c>
      <c r="H644" t="s">
        <v>15</v>
      </c>
    </row>
    <row r="645" spans="1:9">
      <c r="A645" t="s">
        <v>171</v>
      </c>
      <c r="B645"/>
      <c r="C645">
        <v>1.28</v>
      </c>
      <c r="D645" t="s">
        <v>35</v>
      </c>
      <c r="E645" t="s">
        <v>83</v>
      </c>
      <c r="F645" t="s">
        <v>109</v>
      </c>
      <c r="H645" t="s">
        <v>15</v>
      </c>
    </row>
    <row r="646" spans="1:9">
      <c r="A646" t="s">
        <v>172</v>
      </c>
      <c r="B646"/>
      <c r="C646">
        <v>0</v>
      </c>
      <c r="D646" t="s">
        <v>13</v>
      </c>
      <c r="E646" t="s">
        <v>83</v>
      </c>
      <c r="F646" t="s">
        <v>109</v>
      </c>
      <c r="H646" t="s">
        <v>15</v>
      </c>
    </row>
    <row r="647" spans="1:9">
      <c r="A647" t="s">
        <v>110</v>
      </c>
      <c r="B647"/>
      <c r="C647">
        <v>7.1053982999999999E-4</v>
      </c>
      <c r="D647" t="s">
        <v>13</v>
      </c>
      <c r="E647" t="s">
        <v>83</v>
      </c>
      <c r="F647" t="s">
        <v>109</v>
      </c>
      <c r="H647" t="s">
        <v>15</v>
      </c>
    </row>
    <row r="648" spans="1:9">
      <c r="A648" t="s">
        <v>173</v>
      </c>
      <c r="B648"/>
      <c r="C648">
        <v>5.1560000000000002E-2</v>
      </c>
      <c r="D648" t="s">
        <v>13</v>
      </c>
      <c r="E648" t="s">
        <v>83</v>
      </c>
      <c r="F648" t="s">
        <v>25</v>
      </c>
      <c r="H648" t="s">
        <v>15</v>
      </c>
    </row>
    <row r="649" spans="1:9">
      <c r="A649" t="s">
        <v>89</v>
      </c>
      <c r="B649"/>
      <c r="C649">
        <v>6.5989999999999998E-6</v>
      </c>
      <c r="D649" t="s">
        <v>13</v>
      </c>
      <c r="E649" t="s">
        <v>83</v>
      </c>
      <c r="F649" t="s">
        <v>174</v>
      </c>
      <c r="H649" t="s">
        <v>15</v>
      </c>
    </row>
    <row r="650" spans="1:9">
      <c r="A650" s="31" t="s">
        <v>30</v>
      </c>
      <c r="B650" s="31" t="s">
        <v>31</v>
      </c>
      <c r="C650" s="35">
        <v>0</v>
      </c>
      <c r="D650" s="31" t="s">
        <v>13</v>
      </c>
      <c r="E650" t="s">
        <v>131</v>
      </c>
      <c r="G650" s="31" t="s">
        <v>22</v>
      </c>
      <c r="H650" t="s">
        <v>12</v>
      </c>
    </row>
    <row r="651" spans="1:9">
      <c r="A651" s="31" t="s">
        <v>184</v>
      </c>
      <c r="B651" s="31" t="s">
        <v>185</v>
      </c>
      <c r="C651">
        <v>1.2300000000000001E-4</v>
      </c>
      <c r="D651" s="31" t="s">
        <v>13</v>
      </c>
      <c r="E651" t="s">
        <v>131</v>
      </c>
      <c r="G651" s="31" t="s">
        <v>96</v>
      </c>
      <c r="H651" t="s">
        <v>12</v>
      </c>
    </row>
    <row r="652" spans="1:9">
      <c r="A652" s="31" t="s">
        <v>186</v>
      </c>
      <c r="B652" s="31" t="s">
        <v>187</v>
      </c>
      <c r="C652">
        <v>6.9700000000000003E-4</v>
      </c>
      <c r="D652" s="31" t="s">
        <v>13</v>
      </c>
      <c r="E652" t="s">
        <v>131</v>
      </c>
      <c r="G652" s="31" t="s">
        <v>96</v>
      </c>
      <c r="H652" t="s">
        <v>12</v>
      </c>
    </row>
    <row r="653" spans="1:9">
      <c r="A653" t="s">
        <v>188</v>
      </c>
      <c r="B653" t="s">
        <v>189</v>
      </c>
      <c r="C653">
        <v>2.6400000000000001E-5</v>
      </c>
      <c r="D653" s="31" t="s">
        <v>13</v>
      </c>
      <c r="E653" t="s">
        <v>131</v>
      </c>
      <c r="G653" s="31" t="s">
        <v>96</v>
      </c>
      <c r="H653" t="s">
        <v>12</v>
      </c>
    </row>
    <row r="654" spans="1:9">
      <c r="A654" s="31" t="s">
        <v>190</v>
      </c>
      <c r="B654" s="32" t="s">
        <v>191</v>
      </c>
      <c r="C654">
        <v>0</v>
      </c>
      <c r="D654" s="31" t="s">
        <v>13</v>
      </c>
      <c r="E654" t="s">
        <v>131</v>
      </c>
      <c r="G654" s="31" t="s">
        <v>96</v>
      </c>
      <c r="H654" t="s">
        <v>12</v>
      </c>
    </row>
    <row r="655" spans="1:9">
      <c r="A655" s="31" t="s">
        <v>192</v>
      </c>
      <c r="B655" s="32" t="s">
        <v>193</v>
      </c>
      <c r="C655">
        <v>9.2899999999999995E-5</v>
      </c>
      <c r="D655" s="31" t="s">
        <v>13</v>
      </c>
      <c r="E655" t="s">
        <v>131</v>
      </c>
      <c r="G655" s="31" t="s">
        <v>96</v>
      </c>
      <c r="H655" t="s">
        <v>12</v>
      </c>
    </row>
    <row r="656" spans="1:9">
      <c r="A656" s="11" t="s">
        <v>194</v>
      </c>
      <c r="B656" s="32"/>
      <c r="C656">
        <v>1.3412404167307795E-2</v>
      </c>
      <c r="D656" s="31" t="s">
        <v>13</v>
      </c>
      <c r="E656" s="31" t="s">
        <v>83</v>
      </c>
      <c r="F656" t="s">
        <v>109</v>
      </c>
      <c r="H656" t="s">
        <v>15</v>
      </c>
    </row>
    <row r="657" spans="1:9">
      <c r="A657" s="11" t="s">
        <v>82</v>
      </c>
      <c r="B657" s="31"/>
      <c r="C657">
        <v>0.35255462382637631</v>
      </c>
      <c r="D657" s="31" t="s">
        <v>13</v>
      </c>
      <c r="E657" s="31" t="s">
        <v>83</v>
      </c>
      <c r="F657" t="s">
        <v>109</v>
      </c>
      <c r="H657" t="s">
        <v>15</v>
      </c>
    </row>
    <row r="658" spans="1:9" s="49" customFormat="1">
      <c r="B658" s="50"/>
    </row>
    <row r="659" spans="1:9">
      <c r="A659" s="24" t="s">
        <v>1</v>
      </c>
      <c r="B659" s="24" t="s">
        <v>249</v>
      </c>
    </row>
    <row r="660" spans="1:9">
      <c r="A660" s="27" t="s">
        <v>11</v>
      </c>
      <c r="B660" t="s">
        <v>324</v>
      </c>
    </row>
    <row r="661" spans="1:9">
      <c r="A661" s="27" t="s">
        <v>2</v>
      </c>
      <c r="B661" t="s">
        <v>28</v>
      </c>
    </row>
    <row r="662" spans="1:9">
      <c r="A662" s="27" t="s">
        <v>3</v>
      </c>
      <c r="B662" s="28">
        <v>1</v>
      </c>
    </row>
    <row r="663" spans="1:9">
      <c r="A663" s="27" t="s">
        <v>4</v>
      </c>
      <c r="B663" t="s">
        <v>170</v>
      </c>
    </row>
    <row r="664" spans="1:9">
      <c r="A664" s="27" t="s">
        <v>6</v>
      </c>
      <c r="B664" t="s">
        <v>91</v>
      </c>
    </row>
    <row r="665" spans="1:9">
      <c r="A665" s="27" t="s">
        <v>57</v>
      </c>
      <c r="B665"/>
    </row>
    <row r="666" spans="1:9" ht="15.75">
      <c r="A666" s="18" t="s">
        <v>7</v>
      </c>
      <c r="B666"/>
    </row>
    <row r="667" spans="1:9" s="27" customFormat="1">
      <c r="A667" s="27" t="s">
        <v>8</v>
      </c>
      <c r="B667" s="27" t="s">
        <v>4</v>
      </c>
      <c r="C667" s="27" t="s">
        <v>9</v>
      </c>
      <c r="D667" s="27" t="s">
        <v>6</v>
      </c>
      <c r="E667" s="27" t="s">
        <v>81</v>
      </c>
      <c r="F667" s="27" t="s">
        <v>10</v>
      </c>
      <c r="G667" s="27" t="s">
        <v>2</v>
      </c>
      <c r="H667" s="27" t="s">
        <v>5</v>
      </c>
      <c r="I667" s="27" t="s">
        <v>11</v>
      </c>
    </row>
    <row r="668" spans="1:9">
      <c r="A668" t="s">
        <v>249</v>
      </c>
      <c r="B668" t="s">
        <v>170</v>
      </c>
      <c r="C668">
        <v>1</v>
      </c>
      <c r="D668" t="s">
        <v>91</v>
      </c>
      <c r="E668" s="31"/>
      <c r="G668" t="s">
        <v>28</v>
      </c>
      <c r="H668" t="s">
        <v>18</v>
      </c>
    </row>
    <row r="669" spans="1:9">
      <c r="A669" t="s">
        <v>175</v>
      </c>
      <c r="B669" t="s">
        <v>176</v>
      </c>
      <c r="C669">
        <v>1.5303868060521681E-4</v>
      </c>
      <c r="D669" t="s">
        <v>13</v>
      </c>
      <c r="E669" t="s">
        <v>131</v>
      </c>
      <c r="G669" t="s">
        <v>96</v>
      </c>
      <c r="H669" t="s">
        <v>12</v>
      </c>
    </row>
    <row r="670" spans="1:9">
      <c r="A670" t="s">
        <v>177</v>
      </c>
      <c r="B670" t="s">
        <v>95</v>
      </c>
      <c r="C670">
        <v>5.4000000000000001E-11</v>
      </c>
      <c r="D670" t="s">
        <v>6</v>
      </c>
      <c r="E670" t="s">
        <v>131</v>
      </c>
      <c r="G670" t="s">
        <v>96</v>
      </c>
      <c r="H670" t="s">
        <v>12</v>
      </c>
    </row>
    <row r="671" spans="1:9">
      <c r="A671" t="s">
        <v>27</v>
      </c>
      <c r="B671" t="s">
        <v>20</v>
      </c>
      <c r="C671">
        <v>0.6343270522695631</v>
      </c>
      <c r="D671" t="s">
        <v>19</v>
      </c>
      <c r="E671" t="s">
        <v>131</v>
      </c>
      <c r="G671" t="s">
        <v>28</v>
      </c>
      <c r="H671" t="s">
        <v>12</v>
      </c>
    </row>
    <row r="672" spans="1:9">
      <c r="A672" t="s">
        <v>105</v>
      </c>
      <c r="B672" t="s">
        <v>106</v>
      </c>
      <c r="C672">
        <v>1.1400000000000001E-4</v>
      </c>
      <c r="D672" t="s">
        <v>13</v>
      </c>
      <c r="E672" t="s">
        <v>131</v>
      </c>
      <c r="G672" t="s">
        <v>36</v>
      </c>
      <c r="H672" t="s">
        <v>12</v>
      </c>
    </row>
    <row r="673" spans="1:9">
      <c r="A673" t="s">
        <v>178</v>
      </c>
      <c r="B673" t="s">
        <v>179</v>
      </c>
      <c r="C673">
        <v>1.01E-4</v>
      </c>
      <c r="D673" t="s">
        <v>13</v>
      </c>
      <c r="E673" t="s">
        <v>131</v>
      </c>
      <c r="G673" t="s">
        <v>96</v>
      </c>
      <c r="H673" t="s">
        <v>12</v>
      </c>
    </row>
    <row r="674" spans="1:9">
      <c r="A674" t="s">
        <v>303</v>
      </c>
      <c r="B674" s="13" t="s">
        <v>121</v>
      </c>
      <c r="C674">
        <v>1.91298350756521</v>
      </c>
      <c r="D674" s="26" t="s">
        <v>91</v>
      </c>
      <c r="G674" s="31" t="s">
        <v>134</v>
      </c>
      <c r="H674" t="s">
        <v>12</v>
      </c>
    </row>
    <row r="675" spans="1:9" s="26" customFormat="1">
      <c r="A675" s="31" t="s">
        <v>258</v>
      </c>
      <c r="B675" s="31" t="s">
        <v>258</v>
      </c>
      <c r="C675" s="45">
        <v>1</v>
      </c>
      <c r="D675" s="26" t="s">
        <v>6</v>
      </c>
      <c r="E675"/>
      <c r="F675" s="24"/>
      <c r="G675" s="31" t="s">
        <v>28</v>
      </c>
      <c r="H675" t="s">
        <v>12</v>
      </c>
      <c r="I675" s="24"/>
    </row>
    <row r="676" spans="1:9">
      <c r="A676" t="s">
        <v>138</v>
      </c>
      <c r="B676"/>
      <c r="C676">
        <v>3.688792529215449E-2</v>
      </c>
      <c r="D676" t="s">
        <v>13</v>
      </c>
      <c r="E676" t="s">
        <v>83</v>
      </c>
      <c r="F676" t="s">
        <v>109</v>
      </c>
      <c r="H676" t="s">
        <v>15</v>
      </c>
    </row>
    <row r="677" spans="1:9">
      <c r="A677" t="s">
        <v>171</v>
      </c>
      <c r="B677"/>
      <c r="C677">
        <v>1.28</v>
      </c>
      <c r="D677" t="s">
        <v>35</v>
      </c>
      <c r="E677" t="s">
        <v>83</v>
      </c>
      <c r="F677" t="s">
        <v>109</v>
      </c>
      <c r="H677" t="s">
        <v>15</v>
      </c>
    </row>
    <row r="678" spans="1:9">
      <c r="A678" t="s">
        <v>172</v>
      </c>
      <c r="B678"/>
      <c r="C678">
        <v>0</v>
      </c>
      <c r="D678" t="s">
        <v>13</v>
      </c>
      <c r="E678" t="s">
        <v>83</v>
      </c>
      <c r="F678" t="s">
        <v>109</v>
      </c>
      <c r="H678" t="s">
        <v>15</v>
      </c>
    </row>
    <row r="679" spans="1:9">
      <c r="A679" t="s">
        <v>110</v>
      </c>
      <c r="B679"/>
      <c r="C679">
        <v>1.4187996E-2</v>
      </c>
      <c r="D679" t="s">
        <v>13</v>
      </c>
      <c r="E679" t="s">
        <v>83</v>
      </c>
      <c r="F679" t="s">
        <v>109</v>
      </c>
      <c r="H679" t="s">
        <v>15</v>
      </c>
    </row>
    <row r="680" spans="1:9">
      <c r="A680" t="s">
        <v>173</v>
      </c>
      <c r="B680"/>
      <c r="C680">
        <v>5.1560000000000002E-2</v>
      </c>
      <c r="D680" t="s">
        <v>13</v>
      </c>
      <c r="E680" t="s">
        <v>83</v>
      </c>
      <c r="F680" t="s">
        <v>25</v>
      </c>
      <c r="H680" t="s">
        <v>15</v>
      </c>
    </row>
    <row r="681" spans="1:9">
      <c r="A681" t="s">
        <v>89</v>
      </c>
      <c r="B681"/>
      <c r="C681">
        <v>6.5989999999999998E-6</v>
      </c>
      <c r="D681" t="s">
        <v>13</v>
      </c>
      <c r="E681" t="s">
        <v>83</v>
      </c>
      <c r="F681" t="s">
        <v>174</v>
      </c>
      <c r="H681" t="s">
        <v>15</v>
      </c>
    </row>
    <row r="682" spans="1:9">
      <c r="A682" s="31" t="s">
        <v>30</v>
      </c>
      <c r="B682" s="31" t="s">
        <v>31</v>
      </c>
      <c r="C682" s="35">
        <v>0.19129835075652102</v>
      </c>
      <c r="D682" s="31" t="s">
        <v>13</v>
      </c>
      <c r="E682" t="s">
        <v>131</v>
      </c>
      <c r="G682" s="31" t="s">
        <v>22</v>
      </c>
      <c r="H682" t="s">
        <v>12</v>
      </c>
    </row>
    <row r="683" spans="1:9">
      <c r="A683" s="31" t="s">
        <v>184</v>
      </c>
      <c r="B683" s="31" t="s">
        <v>185</v>
      </c>
      <c r="C683">
        <v>0</v>
      </c>
      <c r="D683" s="31" t="s">
        <v>13</v>
      </c>
      <c r="E683" t="s">
        <v>131</v>
      </c>
      <c r="G683" s="31" t="s">
        <v>96</v>
      </c>
      <c r="H683" t="s">
        <v>12</v>
      </c>
    </row>
    <row r="684" spans="1:9">
      <c r="A684" s="31" t="s">
        <v>186</v>
      </c>
      <c r="B684" s="31" t="s">
        <v>187</v>
      </c>
      <c r="C684">
        <v>0</v>
      </c>
      <c r="D684" s="31" t="s">
        <v>13</v>
      </c>
      <c r="E684" t="s">
        <v>131</v>
      </c>
      <c r="G684" s="31" t="s">
        <v>96</v>
      </c>
      <c r="H684" t="s">
        <v>12</v>
      </c>
    </row>
    <row r="685" spans="1:9">
      <c r="A685" t="s">
        <v>188</v>
      </c>
      <c r="B685" t="s">
        <v>189</v>
      </c>
      <c r="C685">
        <v>0</v>
      </c>
      <c r="D685" s="31" t="s">
        <v>13</v>
      </c>
      <c r="E685" t="s">
        <v>131</v>
      </c>
      <c r="G685" s="31" t="s">
        <v>96</v>
      </c>
      <c r="H685" t="s">
        <v>12</v>
      </c>
    </row>
    <row r="686" spans="1:9">
      <c r="A686" s="31" t="s">
        <v>190</v>
      </c>
      <c r="B686" s="32" t="s">
        <v>191</v>
      </c>
      <c r="C686">
        <v>0</v>
      </c>
      <c r="D686" s="31" t="s">
        <v>13</v>
      </c>
      <c r="E686" t="s">
        <v>131</v>
      </c>
      <c r="G686" s="31" t="s">
        <v>96</v>
      </c>
      <c r="H686" t="s">
        <v>12</v>
      </c>
    </row>
    <row r="687" spans="1:9">
      <c r="A687" s="31" t="s">
        <v>192</v>
      </c>
      <c r="B687" s="32" t="s">
        <v>193</v>
      </c>
      <c r="C687">
        <v>0</v>
      </c>
      <c r="D687" s="31" t="s">
        <v>13</v>
      </c>
      <c r="E687" t="s">
        <v>131</v>
      </c>
      <c r="G687" s="31" t="s">
        <v>96</v>
      </c>
      <c r="H687" t="s">
        <v>12</v>
      </c>
    </row>
    <row r="688" spans="1:9">
      <c r="A688" s="11" t="s">
        <v>194</v>
      </c>
      <c r="B688" s="32"/>
      <c r="C688">
        <v>0</v>
      </c>
      <c r="D688" s="31" t="s">
        <v>13</v>
      </c>
      <c r="E688" s="31" t="s">
        <v>83</v>
      </c>
      <c r="F688" t="s">
        <v>109</v>
      </c>
      <c r="H688" t="s">
        <v>15</v>
      </c>
    </row>
    <row r="689" spans="1:9">
      <c r="A689" s="11" t="s">
        <v>82</v>
      </c>
      <c r="B689" s="31"/>
      <c r="C689">
        <v>0</v>
      </c>
      <c r="D689" s="31" t="s">
        <v>13</v>
      </c>
      <c r="E689" s="31" t="s">
        <v>83</v>
      </c>
      <c r="F689" t="s">
        <v>109</v>
      </c>
      <c r="H689" t="s">
        <v>15</v>
      </c>
    </row>
    <row r="690" spans="1:9" s="49" customFormat="1">
      <c r="B690" s="50"/>
    </row>
    <row r="691" spans="1:9">
      <c r="A691" s="24" t="s">
        <v>1</v>
      </c>
      <c r="B691" s="24" t="s">
        <v>250</v>
      </c>
    </row>
    <row r="692" spans="1:9">
      <c r="A692" s="27" t="s">
        <v>11</v>
      </c>
      <c r="B692" t="s">
        <v>325</v>
      </c>
    </row>
    <row r="693" spans="1:9">
      <c r="A693" s="27" t="s">
        <v>2</v>
      </c>
      <c r="B693" t="s">
        <v>28</v>
      </c>
    </row>
    <row r="694" spans="1:9">
      <c r="A694" s="27" t="s">
        <v>3</v>
      </c>
      <c r="B694" s="28">
        <v>1</v>
      </c>
    </row>
    <row r="695" spans="1:9">
      <c r="A695" s="27" t="s">
        <v>4</v>
      </c>
      <c r="B695" t="s">
        <v>170</v>
      </c>
    </row>
    <row r="696" spans="1:9">
      <c r="A696" s="27" t="s">
        <v>6</v>
      </c>
      <c r="B696" t="s">
        <v>91</v>
      </c>
    </row>
    <row r="697" spans="1:9">
      <c r="A697" s="27" t="s">
        <v>57</v>
      </c>
      <c r="B697"/>
    </row>
    <row r="698" spans="1:9" ht="15.75">
      <c r="A698" s="18" t="s">
        <v>7</v>
      </c>
      <c r="B698"/>
    </row>
    <row r="699" spans="1:9" s="27" customFormat="1">
      <c r="A699" s="27" t="s">
        <v>8</v>
      </c>
      <c r="B699" s="27" t="s">
        <v>4</v>
      </c>
      <c r="C699" s="27" t="s">
        <v>9</v>
      </c>
      <c r="D699" s="27" t="s">
        <v>6</v>
      </c>
      <c r="E699" s="27" t="s">
        <v>81</v>
      </c>
      <c r="F699" s="27" t="s">
        <v>10</v>
      </c>
      <c r="G699" s="27" t="s">
        <v>2</v>
      </c>
      <c r="H699" s="27" t="s">
        <v>5</v>
      </c>
      <c r="I699" s="27" t="s">
        <v>11</v>
      </c>
    </row>
    <row r="700" spans="1:9">
      <c r="A700" t="s">
        <v>250</v>
      </c>
      <c r="B700" t="s">
        <v>170</v>
      </c>
      <c r="C700">
        <v>1</v>
      </c>
      <c r="D700" t="s">
        <v>91</v>
      </c>
      <c r="E700" s="31"/>
      <c r="G700" t="s">
        <v>28</v>
      </c>
      <c r="H700" t="s">
        <v>18</v>
      </c>
    </row>
    <row r="701" spans="1:9">
      <c r="A701" t="s">
        <v>175</v>
      </c>
      <c r="B701" t="s">
        <v>176</v>
      </c>
      <c r="C701">
        <v>1.5294587364305477E-4</v>
      </c>
      <c r="D701" t="s">
        <v>13</v>
      </c>
      <c r="E701" t="s">
        <v>131</v>
      </c>
      <c r="G701" t="s">
        <v>96</v>
      </c>
      <c r="H701" t="s">
        <v>12</v>
      </c>
    </row>
    <row r="702" spans="1:9">
      <c r="A702" t="s">
        <v>177</v>
      </c>
      <c r="B702" t="s">
        <v>95</v>
      </c>
      <c r="C702">
        <v>5.4000000000000001E-11</v>
      </c>
      <c r="D702" t="s">
        <v>6</v>
      </c>
      <c r="E702" t="s">
        <v>131</v>
      </c>
      <c r="G702" t="s">
        <v>96</v>
      </c>
      <c r="H702" t="s">
        <v>12</v>
      </c>
    </row>
    <row r="703" spans="1:9">
      <c r="A703" t="s">
        <v>27</v>
      </c>
      <c r="B703" t="s">
        <v>20</v>
      </c>
      <c r="C703">
        <v>0.67679502616145548</v>
      </c>
      <c r="D703" t="s">
        <v>19</v>
      </c>
      <c r="E703" t="s">
        <v>131</v>
      </c>
      <c r="G703" t="s">
        <v>28</v>
      </c>
      <c r="H703" t="s">
        <v>12</v>
      </c>
    </row>
    <row r="704" spans="1:9">
      <c r="A704" t="s">
        <v>105</v>
      </c>
      <c r="B704" t="s">
        <v>106</v>
      </c>
      <c r="C704">
        <v>1.1400000000000001E-4</v>
      </c>
      <c r="D704" t="s">
        <v>13</v>
      </c>
      <c r="E704" t="s">
        <v>131</v>
      </c>
      <c r="G704" t="s">
        <v>36</v>
      </c>
      <c r="H704" t="s">
        <v>12</v>
      </c>
    </row>
    <row r="705" spans="1:9">
      <c r="A705" t="s">
        <v>178</v>
      </c>
      <c r="B705" t="s">
        <v>179</v>
      </c>
      <c r="C705">
        <v>1.01E-4</v>
      </c>
      <c r="D705" t="s">
        <v>13</v>
      </c>
      <c r="E705" t="s">
        <v>131</v>
      </c>
      <c r="G705" t="s">
        <v>96</v>
      </c>
      <c r="H705" t="s">
        <v>12</v>
      </c>
    </row>
    <row r="706" spans="1:9">
      <c r="A706" t="s">
        <v>303</v>
      </c>
      <c r="B706" s="13" t="s">
        <v>121</v>
      </c>
      <c r="C706">
        <v>1.9118234205381845</v>
      </c>
      <c r="D706" s="26" t="s">
        <v>91</v>
      </c>
      <c r="G706" s="31" t="s">
        <v>134</v>
      </c>
      <c r="H706" t="s">
        <v>12</v>
      </c>
    </row>
    <row r="707" spans="1:9" s="26" customFormat="1">
      <c r="A707" s="31" t="s">
        <v>258</v>
      </c>
      <c r="B707" s="31" t="s">
        <v>258</v>
      </c>
      <c r="C707" s="45">
        <v>1</v>
      </c>
      <c r="D707" s="26" t="s">
        <v>6</v>
      </c>
      <c r="E707"/>
      <c r="F707" s="24"/>
      <c r="G707" s="31" t="s">
        <v>28</v>
      </c>
      <c r="H707" t="s">
        <v>12</v>
      </c>
      <c r="I707" s="24"/>
    </row>
    <row r="708" spans="1:9">
      <c r="A708" t="s">
        <v>138</v>
      </c>
      <c r="B708"/>
      <c r="C708">
        <v>5.5298333124442628E-2</v>
      </c>
      <c r="D708" t="s">
        <v>13</v>
      </c>
      <c r="E708" t="s">
        <v>83</v>
      </c>
      <c r="F708" t="s">
        <v>109</v>
      </c>
      <c r="H708" t="s">
        <v>15</v>
      </c>
    </row>
    <row r="709" spans="1:9">
      <c r="A709" t="s">
        <v>171</v>
      </c>
      <c r="B709"/>
      <c r="C709">
        <v>1.28</v>
      </c>
      <c r="D709" t="s">
        <v>35</v>
      </c>
      <c r="E709" t="s">
        <v>83</v>
      </c>
      <c r="F709" t="s">
        <v>109</v>
      </c>
      <c r="H709" t="s">
        <v>15</v>
      </c>
    </row>
    <row r="710" spans="1:9">
      <c r="A710" t="s">
        <v>172</v>
      </c>
      <c r="B710"/>
      <c r="C710">
        <v>0</v>
      </c>
      <c r="D710" t="s">
        <v>13</v>
      </c>
      <c r="E710" t="s">
        <v>83</v>
      </c>
      <c r="F710" t="s">
        <v>109</v>
      </c>
      <c r="H710" t="s">
        <v>15</v>
      </c>
    </row>
    <row r="711" spans="1:9">
      <c r="A711" t="s">
        <v>110</v>
      </c>
      <c r="B711"/>
      <c r="C711">
        <v>2.1269088000000002E-2</v>
      </c>
      <c r="D711" t="s">
        <v>13</v>
      </c>
      <c r="E711" t="s">
        <v>83</v>
      </c>
      <c r="F711" t="s">
        <v>109</v>
      </c>
      <c r="H711" t="s">
        <v>15</v>
      </c>
    </row>
    <row r="712" spans="1:9">
      <c r="A712" t="s">
        <v>173</v>
      </c>
      <c r="B712"/>
      <c r="C712">
        <v>5.1560000000000002E-2</v>
      </c>
      <c r="D712" t="s">
        <v>13</v>
      </c>
      <c r="E712" t="s">
        <v>83</v>
      </c>
      <c r="F712" t="s">
        <v>25</v>
      </c>
      <c r="H712" t="s">
        <v>15</v>
      </c>
    </row>
    <row r="713" spans="1:9">
      <c r="A713" t="s">
        <v>89</v>
      </c>
      <c r="B713"/>
      <c r="C713">
        <v>6.5989999999999998E-6</v>
      </c>
      <c r="D713" t="s">
        <v>13</v>
      </c>
      <c r="E713" t="s">
        <v>83</v>
      </c>
      <c r="F713" t="s">
        <v>174</v>
      </c>
      <c r="H713" t="s">
        <v>15</v>
      </c>
    </row>
    <row r="714" spans="1:9">
      <c r="A714" s="31" t="s">
        <v>30</v>
      </c>
      <c r="B714" s="31" t="s">
        <v>31</v>
      </c>
      <c r="C714" s="36">
        <v>0</v>
      </c>
      <c r="D714" s="31" t="s">
        <v>13</v>
      </c>
      <c r="E714" t="s">
        <v>131</v>
      </c>
      <c r="G714" s="31" t="s">
        <v>22</v>
      </c>
      <c r="H714" t="s">
        <v>12</v>
      </c>
    </row>
    <row r="715" spans="1:9">
      <c r="A715" s="31" t="s">
        <v>184</v>
      </c>
      <c r="B715" s="31" t="s">
        <v>185</v>
      </c>
      <c r="C715">
        <v>2.0799999999999999E-4</v>
      </c>
      <c r="D715" s="31" t="s">
        <v>13</v>
      </c>
      <c r="E715" t="s">
        <v>131</v>
      </c>
      <c r="G715" s="31" t="s">
        <v>96</v>
      </c>
      <c r="H715" t="s">
        <v>12</v>
      </c>
    </row>
    <row r="716" spans="1:9">
      <c r="A716" s="31" t="s">
        <v>186</v>
      </c>
      <c r="B716" s="31" t="s">
        <v>187</v>
      </c>
      <c r="C716">
        <v>0</v>
      </c>
      <c r="D716" s="31" t="s">
        <v>13</v>
      </c>
      <c r="E716" t="s">
        <v>131</v>
      </c>
      <c r="G716" s="31" t="s">
        <v>96</v>
      </c>
      <c r="H716" t="s">
        <v>12</v>
      </c>
    </row>
    <row r="717" spans="1:9">
      <c r="A717" t="s">
        <v>188</v>
      </c>
      <c r="B717" t="s">
        <v>189</v>
      </c>
      <c r="C717">
        <v>3.98E-6</v>
      </c>
      <c r="D717" s="31" t="s">
        <v>13</v>
      </c>
      <c r="E717" t="s">
        <v>131</v>
      </c>
      <c r="G717" s="31" t="s">
        <v>96</v>
      </c>
      <c r="H717" t="s">
        <v>12</v>
      </c>
    </row>
    <row r="718" spans="1:9">
      <c r="A718" s="31" t="s">
        <v>190</v>
      </c>
      <c r="B718" s="32" t="s">
        <v>191</v>
      </c>
      <c r="C718">
        <v>0</v>
      </c>
      <c r="D718" s="31" t="s">
        <v>13</v>
      </c>
      <c r="E718" t="s">
        <v>131</v>
      </c>
      <c r="G718" s="31" t="s">
        <v>96</v>
      </c>
      <c r="H718" t="s">
        <v>12</v>
      </c>
    </row>
    <row r="719" spans="1:9">
      <c r="A719" s="31" t="s">
        <v>192</v>
      </c>
      <c r="B719" s="32" t="s">
        <v>193</v>
      </c>
      <c r="C719">
        <v>0</v>
      </c>
      <c r="D719" s="31" t="s">
        <v>13</v>
      </c>
      <c r="E719" t="s">
        <v>131</v>
      </c>
      <c r="G719" s="31" t="s">
        <v>96</v>
      </c>
      <c r="H719" t="s">
        <v>12</v>
      </c>
    </row>
    <row r="720" spans="1:9">
      <c r="A720" s="11" t="s">
        <v>194</v>
      </c>
      <c r="B720" s="32"/>
      <c r="C720">
        <v>0</v>
      </c>
      <c r="D720" s="31" t="s">
        <v>13</v>
      </c>
      <c r="E720" s="31" t="s">
        <v>83</v>
      </c>
      <c r="F720" t="s">
        <v>109</v>
      </c>
      <c r="H720" t="s">
        <v>15</v>
      </c>
    </row>
    <row r="721" spans="1:9">
      <c r="A721" s="11" t="s">
        <v>82</v>
      </c>
      <c r="B721" s="31"/>
      <c r="C721">
        <v>0</v>
      </c>
      <c r="D721" s="31" t="s">
        <v>13</v>
      </c>
      <c r="E721" s="31" t="s">
        <v>83</v>
      </c>
      <c r="F721" t="s">
        <v>109</v>
      </c>
      <c r="H721" t="s">
        <v>15</v>
      </c>
    </row>
    <row r="722" spans="1:9" s="49" customFormat="1">
      <c r="B722" s="50"/>
    </row>
    <row r="723" spans="1:9">
      <c r="A723" s="24" t="s">
        <v>1</v>
      </c>
      <c r="B723" s="24" t="s">
        <v>251</v>
      </c>
    </row>
    <row r="724" spans="1:9">
      <c r="A724" s="27" t="s">
        <v>11</v>
      </c>
      <c r="B724" t="s">
        <v>326</v>
      </c>
    </row>
    <row r="725" spans="1:9">
      <c r="A725" s="27" t="s">
        <v>2</v>
      </c>
      <c r="B725" t="s">
        <v>28</v>
      </c>
    </row>
    <row r="726" spans="1:9">
      <c r="A726" s="27" t="s">
        <v>3</v>
      </c>
      <c r="B726" s="28">
        <v>1</v>
      </c>
      <c r="I726" s="13"/>
    </row>
    <row r="727" spans="1:9">
      <c r="A727" s="27" t="s">
        <v>4</v>
      </c>
      <c r="B727" t="s">
        <v>170</v>
      </c>
    </row>
    <row r="728" spans="1:9">
      <c r="A728" s="27" t="s">
        <v>6</v>
      </c>
      <c r="B728" t="s">
        <v>91</v>
      </c>
    </row>
    <row r="729" spans="1:9">
      <c r="A729" s="27" t="s">
        <v>57</v>
      </c>
      <c r="B729"/>
    </row>
    <row r="730" spans="1:9" ht="15.75">
      <c r="A730" s="18" t="s">
        <v>7</v>
      </c>
      <c r="B730"/>
    </row>
    <row r="731" spans="1:9">
      <c r="A731" s="27" t="s">
        <v>8</v>
      </c>
      <c r="B731" s="27" t="s">
        <v>4</v>
      </c>
      <c r="C731" s="27" t="s">
        <v>9</v>
      </c>
      <c r="D731" s="27" t="s">
        <v>6</v>
      </c>
      <c r="E731" s="27" t="s">
        <v>81</v>
      </c>
      <c r="F731" s="27" t="s">
        <v>10</v>
      </c>
      <c r="G731" s="27" t="s">
        <v>2</v>
      </c>
      <c r="H731" s="27" t="s">
        <v>5</v>
      </c>
      <c r="I731" s="27" t="s">
        <v>11</v>
      </c>
    </row>
    <row r="732" spans="1:9">
      <c r="A732" t="s">
        <v>251</v>
      </c>
      <c r="B732" t="s">
        <v>170</v>
      </c>
      <c r="C732">
        <v>1</v>
      </c>
      <c r="D732" t="s">
        <v>91</v>
      </c>
      <c r="E732" s="31"/>
      <c r="G732" t="s">
        <v>28</v>
      </c>
      <c r="H732" t="s">
        <v>18</v>
      </c>
    </row>
    <row r="733" spans="1:9">
      <c r="A733" t="s">
        <v>175</v>
      </c>
      <c r="B733" t="s">
        <v>176</v>
      </c>
      <c r="C733">
        <v>1.5029864785434452E-4</v>
      </c>
      <c r="D733" t="s">
        <v>13</v>
      </c>
      <c r="E733" t="s">
        <v>131</v>
      </c>
      <c r="G733" t="s">
        <v>96</v>
      </c>
      <c r="H733" t="s">
        <v>12</v>
      </c>
    </row>
    <row r="734" spans="1:9">
      <c r="A734" t="s">
        <v>177</v>
      </c>
      <c r="B734" t="s">
        <v>95</v>
      </c>
      <c r="C734">
        <v>0</v>
      </c>
      <c r="D734" t="s">
        <v>6</v>
      </c>
      <c r="E734" t="s">
        <v>131</v>
      </c>
      <c r="G734" t="s">
        <v>96</v>
      </c>
      <c r="H734" t="s">
        <v>12</v>
      </c>
    </row>
    <row r="735" spans="1:9">
      <c r="A735" t="s">
        <v>27</v>
      </c>
      <c r="B735" t="s">
        <v>20</v>
      </c>
      <c r="C735">
        <v>0.6575565843627571</v>
      </c>
      <c r="D735" t="s">
        <v>19</v>
      </c>
      <c r="E735" t="s">
        <v>131</v>
      </c>
      <c r="G735" t="s">
        <v>28</v>
      </c>
      <c r="H735" t="s">
        <v>12</v>
      </c>
    </row>
    <row r="736" spans="1:9">
      <c r="A736" t="s">
        <v>105</v>
      </c>
      <c r="B736" t="s">
        <v>106</v>
      </c>
      <c r="C736">
        <v>0</v>
      </c>
      <c r="D736" t="s">
        <v>13</v>
      </c>
      <c r="E736" t="s">
        <v>131</v>
      </c>
      <c r="G736" t="s">
        <v>36</v>
      </c>
      <c r="H736" t="s">
        <v>12</v>
      </c>
    </row>
    <row r="737" spans="1:9">
      <c r="A737" t="s">
        <v>178</v>
      </c>
      <c r="B737" t="s">
        <v>179</v>
      </c>
      <c r="C737">
        <v>0</v>
      </c>
      <c r="D737" t="s">
        <v>13</v>
      </c>
      <c r="E737" t="s">
        <v>131</v>
      </c>
      <c r="G737" t="s">
        <v>96</v>
      </c>
      <c r="H737" t="s">
        <v>12</v>
      </c>
    </row>
    <row r="738" spans="1:9">
      <c r="A738" t="s">
        <v>303</v>
      </c>
      <c r="B738" s="13" t="s">
        <v>121</v>
      </c>
      <c r="C738">
        <v>1.8787330981793062</v>
      </c>
      <c r="D738" s="26" t="s">
        <v>91</v>
      </c>
      <c r="G738" s="31" t="s">
        <v>134</v>
      </c>
      <c r="H738" t="s">
        <v>12</v>
      </c>
    </row>
    <row r="739" spans="1:9" s="26" customFormat="1">
      <c r="A739" s="31" t="s">
        <v>258</v>
      </c>
      <c r="B739" s="31" t="s">
        <v>258</v>
      </c>
      <c r="C739" s="45">
        <v>1</v>
      </c>
      <c r="D739" s="26" t="s">
        <v>6</v>
      </c>
      <c r="E739"/>
      <c r="F739" s="24"/>
      <c r="G739" s="31" t="s">
        <v>28</v>
      </c>
      <c r="H739" t="s">
        <v>12</v>
      </c>
      <c r="I739" s="24"/>
    </row>
    <row r="740" spans="1:9">
      <c r="A740" t="s">
        <v>138</v>
      </c>
      <c r="B740"/>
      <c r="C740">
        <v>9.0568692693203737E-4</v>
      </c>
      <c r="D740" t="s">
        <v>13</v>
      </c>
      <c r="E740" t="s">
        <v>83</v>
      </c>
      <c r="F740" t="s">
        <v>109</v>
      </c>
      <c r="H740" t="s">
        <v>15</v>
      </c>
    </row>
    <row r="741" spans="1:9">
      <c r="A741" t="s">
        <v>171</v>
      </c>
      <c r="B741"/>
      <c r="C741">
        <v>0</v>
      </c>
      <c r="D741" t="s">
        <v>35</v>
      </c>
      <c r="E741" t="s">
        <v>83</v>
      </c>
      <c r="F741" t="s">
        <v>109</v>
      </c>
      <c r="H741" t="s">
        <v>15</v>
      </c>
    </row>
    <row r="742" spans="1:9">
      <c r="A742" t="s">
        <v>172</v>
      </c>
      <c r="B742"/>
      <c r="C742">
        <v>0</v>
      </c>
      <c r="D742" t="s">
        <v>13</v>
      </c>
      <c r="E742" t="s">
        <v>83</v>
      </c>
      <c r="F742" t="s">
        <v>109</v>
      </c>
      <c r="H742" t="s">
        <v>15</v>
      </c>
    </row>
    <row r="743" spans="1:9">
      <c r="A743" t="s">
        <v>110</v>
      </c>
      <c r="B743"/>
      <c r="C743">
        <v>3.4834928759999994E-4</v>
      </c>
      <c r="D743" t="s">
        <v>13</v>
      </c>
      <c r="E743" t="s">
        <v>83</v>
      </c>
      <c r="F743" t="s">
        <v>109</v>
      </c>
      <c r="H743" t="s">
        <v>15</v>
      </c>
    </row>
    <row r="744" spans="1:9">
      <c r="A744" t="s">
        <v>173</v>
      </c>
      <c r="B744"/>
      <c r="C744">
        <v>0</v>
      </c>
      <c r="D744" t="s">
        <v>13</v>
      </c>
      <c r="E744" t="s">
        <v>83</v>
      </c>
      <c r="F744" t="s">
        <v>25</v>
      </c>
      <c r="H744" t="s">
        <v>15</v>
      </c>
    </row>
    <row r="745" spans="1:9">
      <c r="A745" t="s">
        <v>89</v>
      </c>
      <c r="B745"/>
      <c r="C745">
        <v>0</v>
      </c>
      <c r="D745" t="s">
        <v>13</v>
      </c>
      <c r="E745" t="s">
        <v>83</v>
      </c>
      <c r="F745" t="s">
        <v>174</v>
      </c>
      <c r="H745" t="s">
        <v>15</v>
      </c>
    </row>
    <row r="746" spans="1:9">
      <c r="A746" s="31" t="s">
        <v>30</v>
      </c>
      <c r="B746" s="31" t="s">
        <v>31</v>
      </c>
      <c r="C746" s="36">
        <v>0</v>
      </c>
      <c r="D746" s="31" t="s">
        <v>13</v>
      </c>
      <c r="E746" t="s">
        <v>131</v>
      </c>
      <c r="G746" s="31" t="s">
        <v>22</v>
      </c>
      <c r="H746" t="s">
        <v>12</v>
      </c>
    </row>
    <row r="747" spans="1:9">
      <c r="A747" s="31" t="s">
        <v>184</v>
      </c>
      <c r="B747" s="31" t="s">
        <v>185</v>
      </c>
      <c r="C747">
        <v>0</v>
      </c>
      <c r="D747" s="31" t="s">
        <v>13</v>
      </c>
      <c r="E747" t="s">
        <v>131</v>
      </c>
      <c r="G747" s="31" t="s">
        <v>96</v>
      </c>
      <c r="H747" t="s">
        <v>12</v>
      </c>
    </row>
    <row r="748" spans="1:9">
      <c r="A748" s="31" t="s">
        <v>186</v>
      </c>
      <c r="B748" s="31" t="s">
        <v>187</v>
      </c>
      <c r="C748">
        <v>0</v>
      </c>
      <c r="D748" s="31" t="s">
        <v>13</v>
      </c>
      <c r="E748" t="s">
        <v>131</v>
      </c>
      <c r="G748" s="31" t="s">
        <v>96</v>
      </c>
      <c r="H748" t="s">
        <v>12</v>
      </c>
    </row>
    <row r="749" spans="1:9">
      <c r="A749" t="s">
        <v>188</v>
      </c>
      <c r="B749" t="s">
        <v>189</v>
      </c>
      <c r="C749">
        <v>0</v>
      </c>
      <c r="D749" s="31" t="s">
        <v>13</v>
      </c>
      <c r="E749" t="s">
        <v>131</v>
      </c>
      <c r="G749" s="31" t="s">
        <v>96</v>
      </c>
      <c r="H749" t="s">
        <v>12</v>
      </c>
    </row>
    <row r="750" spans="1:9">
      <c r="A750" s="31" t="s">
        <v>190</v>
      </c>
      <c r="B750" s="32" t="s">
        <v>191</v>
      </c>
      <c r="C750">
        <v>0</v>
      </c>
      <c r="D750" s="31" t="s">
        <v>13</v>
      </c>
      <c r="E750" t="s">
        <v>131</v>
      </c>
      <c r="G750" s="31" t="s">
        <v>96</v>
      </c>
      <c r="H750" t="s">
        <v>12</v>
      </c>
    </row>
    <row r="751" spans="1:9">
      <c r="A751" s="31" t="s">
        <v>192</v>
      </c>
      <c r="B751" s="32" t="s">
        <v>193</v>
      </c>
      <c r="C751">
        <v>0</v>
      </c>
      <c r="D751" s="31" t="s">
        <v>13</v>
      </c>
      <c r="E751" t="s">
        <v>131</v>
      </c>
      <c r="G751" s="31" t="s">
        <v>96</v>
      </c>
      <c r="H751" t="s">
        <v>12</v>
      </c>
    </row>
    <row r="752" spans="1:9">
      <c r="A752" s="11" t="s">
        <v>194</v>
      </c>
      <c r="B752" s="32"/>
      <c r="C752">
        <v>0</v>
      </c>
      <c r="D752" s="31" t="s">
        <v>13</v>
      </c>
      <c r="E752" s="31" t="s">
        <v>83</v>
      </c>
      <c r="F752" t="s">
        <v>109</v>
      </c>
      <c r="H752" t="s">
        <v>15</v>
      </c>
    </row>
    <row r="753" spans="1:21">
      <c r="A753" s="11" t="s">
        <v>82</v>
      </c>
      <c r="B753" s="31"/>
      <c r="C753">
        <v>0</v>
      </c>
      <c r="D753" s="31" t="s">
        <v>13</v>
      </c>
      <c r="E753" s="31" t="s">
        <v>83</v>
      </c>
      <c r="F753" t="s">
        <v>109</v>
      </c>
      <c r="H753" t="s">
        <v>15</v>
      </c>
    </row>
    <row r="754" spans="1:21" s="49" customFormat="1">
      <c r="B754" s="50"/>
    </row>
    <row r="755" spans="1:21">
      <c r="A755" s="24" t="s">
        <v>1</v>
      </c>
      <c r="B755" s="24" t="s">
        <v>229</v>
      </c>
    </row>
    <row r="756" spans="1:21">
      <c r="A756" s="27" t="s">
        <v>11</v>
      </c>
      <c r="B756" s="13" t="s">
        <v>327</v>
      </c>
    </row>
    <row r="757" spans="1:21">
      <c r="A757" s="27" t="s">
        <v>2</v>
      </c>
      <c r="B757" s="13" t="s">
        <v>28</v>
      </c>
    </row>
    <row r="758" spans="1:21">
      <c r="A758" s="27" t="s">
        <v>3</v>
      </c>
      <c r="B758" s="13">
        <v>1</v>
      </c>
    </row>
    <row r="759" spans="1:21">
      <c r="A759" s="27" t="s">
        <v>4</v>
      </c>
      <c r="B759" s="13" t="s">
        <v>210</v>
      </c>
    </row>
    <row r="760" spans="1:21">
      <c r="A760" s="27" t="s">
        <v>6</v>
      </c>
      <c r="B760" t="s">
        <v>91</v>
      </c>
    </row>
    <row r="761" spans="1:21">
      <c r="A761" s="27" t="s">
        <v>57</v>
      </c>
      <c r="B761" s="13" t="s">
        <v>211</v>
      </c>
    </row>
    <row r="762" spans="1:21" ht="15.75">
      <c r="A762" s="18" t="s">
        <v>7</v>
      </c>
      <c r="B762" s="15"/>
      <c r="C762" s="15"/>
      <c r="D762" s="15"/>
      <c r="E762" s="15"/>
      <c r="F762" s="15"/>
      <c r="G762" s="15"/>
      <c r="H762" s="15"/>
      <c r="I762" s="15"/>
      <c r="J762" s="15"/>
      <c r="K762" s="15"/>
      <c r="L762" s="15"/>
      <c r="M762" s="15"/>
      <c r="N762" s="15"/>
      <c r="O762" s="15"/>
      <c r="P762" s="15"/>
      <c r="Q762" s="15"/>
      <c r="R762" s="15"/>
      <c r="S762" s="15"/>
      <c r="T762" s="15"/>
    </row>
    <row r="763" spans="1:21" s="27" customFormat="1">
      <c r="A763" s="27" t="s">
        <v>8</v>
      </c>
      <c r="B763" s="27" t="s">
        <v>4</v>
      </c>
      <c r="C763" s="27" t="s">
        <v>9</v>
      </c>
      <c r="D763" s="27" t="s">
        <v>6</v>
      </c>
      <c r="E763" s="24" t="s">
        <v>81</v>
      </c>
      <c r="F763" s="27" t="s">
        <v>10</v>
      </c>
      <c r="G763" s="27" t="s">
        <v>2</v>
      </c>
      <c r="H763" s="27" t="s">
        <v>5</v>
      </c>
      <c r="I763" s="27" t="s">
        <v>11</v>
      </c>
      <c r="J763" s="27" t="s">
        <v>212</v>
      </c>
      <c r="K763" s="27" t="s">
        <v>213</v>
      </c>
      <c r="L763" s="27" t="s">
        <v>214</v>
      </c>
      <c r="M763" s="27" t="s">
        <v>215</v>
      </c>
      <c r="N763" s="27" t="s">
        <v>216</v>
      </c>
      <c r="O763" s="27" t="s">
        <v>217</v>
      </c>
      <c r="P763" s="27" t="s">
        <v>218</v>
      </c>
      <c r="Q763" s="27" t="s">
        <v>219</v>
      </c>
      <c r="R763" s="27" t="s">
        <v>220</v>
      </c>
      <c r="S763" s="27" t="s">
        <v>221</v>
      </c>
      <c r="T763" s="27" t="s">
        <v>222</v>
      </c>
      <c r="U763" s="27" t="s">
        <v>223</v>
      </c>
    </row>
    <row r="764" spans="1:21">
      <c r="A764" t="s">
        <v>229</v>
      </c>
      <c r="B764" t="s">
        <v>210</v>
      </c>
      <c r="C764">
        <v>1</v>
      </c>
      <c r="D764" t="s">
        <v>91</v>
      </c>
      <c r="G764" t="s">
        <v>28</v>
      </c>
      <c r="H764" t="s">
        <v>18</v>
      </c>
      <c r="I764" t="s">
        <v>232</v>
      </c>
      <c r="U764" t="s">
        <v>224</v>
      </c>
    </row>
    <row r="765" spans="1:21">
      <c r="A765" t="s">
        <v>225</v>
      </c>
      <c r="B765" t="s">
        <v>226</v>
      </c>
      <c r="C765">
        <v>2.8299989989246005E-7</v>
      </c>
      <c r="D765" t="s">
        <v>6</v>
      </c>
      <c r="G765" t="s">
        <v>36</v>
      </c>
      <c r="H765" t="s">
        <v>12</v>
      </c>
      <c r="I765" t="s">
        <v>232</v>
      </c>
      <c r="J765">
        <v>2</v>
      </c>
      <c r="K765">
        <v>-14.745139500000001</v>
      </c>
      <c r="L765">
        <v>1.05</v>
      </c>
      <c r="M765">
        <v>1.2</v>
      </c>
      <c r="N765">
        <v>1.03</v>
      </c>
      <c r="O765">
        <v>1.01</v>
      </c>
      <c r="P765">
        <v>1.2</v>
      </c>
      <c r="Q765">
        <v>1.2</v>
      </c>
      <c r="R765">
        <v>3</v>
      </c>
      <c r="S765">
        <v>0.57228175400000003</v>
      </c>
    </row>
    <row r="766" spans="1:21">
      <c r="A766" s="31" t="s">
        <v>252</v>
      </c>
      <c r="B766" s="31" t="s">
        <v>252</v>
      </c>
      <c r="C766">
        <v>1.9717499999999999</v>
      </c>
      <c r="D766" t="s">
        <v>13</v>
      </c>
      <c r="G766" t="s">
        <v>28</v>
      </c>
      <c r="H766" t="s">
        <v>12</v>
      </c>
      <c r="I766" t="s">
        <v>230</v>
      </c>
    </row>
    <row r="767" spans="1:21">
      <c r="A767" s="31" t="s">
        <v>100</v>
      </c>
      <c r="B767" t="s">
        <v>38</v>
      </c>
      <c r="C767">
        <v>0.38744588744588737</v>
      </c>
      <c r="D767" t="s">
        <v>13</v>
      </c>
      <c r="G767" t="s">
        <v>28</v>
      </c>
      <c r="H767" t="s">
        <v>12</v>
      </c>
      <c r="I767" t="s">
        <v>230</v>
      </c>
    </row>
    <row r="768" spans="1:21">
      <c r="A768" t="s">
        <v>227</v>
      </c>
      <c r="B768" t="s">
        <v>228</v>
      </c>
      <c r="C768">
        <v>5.9999993977199999E-5</v>
      </c>
      <c r="D768" t="s">
        <v>13</v>
      </c>
      <c r="G768" t="s">
        <v>36</v>
      </c>
      <c r="H768" t="s">
        <v>12</v>
      </c>
      <c r="I768" t="s">
        <v>232</v>
      </c>
      <c r="J768">
        <v>2</v>
      </c>
      <c r="K768">
        <v>-9.3884865570000002</v>
      </c>
      <c r="L768">
        <v>1.05</v>
      </c>
      <c r="M768">
        <v>1.2</v>
      </c>
      <c r="N768">
        <v>1.03</v>
      </c>
      <c r="O768">
        <v>1.01</v>
      </c>
      <c r="P768">
        <v>1.2</v>
      </c>
      <c r="Q768">
        <v>1.2</v>
      </c>
      <c r="R768">
        <v>1.05</v>
      </c>
      <c r="S768">
        <v>0.162370827</v>
      </c>
    </row>
    <row r="769" spans="1:11" s="26" customFormat="1">
      <c r="A769" s="31" t="s">
        <v>260</v>
      </c>
      <c r="B769" s="31" t="s">
        <v>260</v>
      </c>
      <c r="C769" s="45">
        <v>1</v>
      </c>
      <c r="D769" s="26" t="s">
        <v>6</v>
      </c>
      <c r="E769"/>
      <c r="F769" s="24"/>
      <c r="G769" s="31" t="s">
        <v>28</v>
      </c>
      <c r="H769" t="s">
        <v>12</v>
      </c>
      <c r="I769" s="24"/>
    </row>
    <row r="770" spans="1:11">
      <c r="A770" t="s">
        <v>93</v>
      </c>
      <c r="C770">
        <v>1.6132499999999999</v>
      </c>
      <c r="D770" t="s">
        <v>91</v>
      </c>
      <c r="F770" t="s">
        <v>208</v>
      </c>
      <c r="H770" t="s">
        <v>15</v>
      </c>
      <c r="I770" t="s">
        <v>230</v>
      </c>
    </row>
    <row r="771" spans="1:11">
      <c r="A771" t="s">
        <v>171</v>
      </c>
      <c r="B771"/>
      <c r="C771">
        <v>11.333081249999999</v>
      </c>
      <c r="D771" t="s">
        <v>35</v>
      </c>
      <c r="F771" t="s">
        <v>109</v>
      </c>
      <c r="H771" t="s">
        <v>15</v>
      </c>
      <c r="I771" t="s">
        <v>231</v>
      </c>
    </row>
    <row r="772" spans="1:11" s="49" customFormat="1">
      <c r="B772" s="50"/>
    </row>
    <row r="773" spans="1:11" s="26" customFormat="1">
      <c r="A773" s="24" t="s">
        <v>1</v>
      </c>
      <c r="B773" s="24" t="s">
        <v>252</v>
      </c>
      <c r="C773" s="25"/>
    </row>
    <row r="774" spans="1:11" s="26" customFormat="1">
      <c r="A774" s="24" t="s">
        <v>11</v>
      </c>
      <c r="B774" s="26" t="s">
        <v>253</v>
      </c>
      <c r="C774" s="25"/>
    </row>
    <row r="775" spans="1:11" s="26" customFormat="1">
      <c r="A775" s="24" t="s">
        <v>2</v>
      </c>
      <c r="B775" s="26" t="s">
        <v>28</v>
      </c>
      <c r="C775" s="25"/>
    </row>
    <row r="776" spans="1:11" s="26" customFormat="1">
      <c r="A776" s="27" t="s">
        <v>4</v>
      </c>
      <c r="B776" s="31" t="s">
        <v>252</v>
      </c>
      <c r="C776" s="25"/>
    </row>
    <row r="777" spans="1:11" s="26" customFormat="1">
      <c r="A777" s="24" t="s">
        <v>3</v>
      </c>
      <c r="B777" s="28">
        <v>1</v>
      </c>
      <c r="C777" s="25"/>
      <c r="D777" s="29"/>
    </row>
    <row r="778" spans="1:11" s="26" customFormat="1">
      <c r="A778" s="24" t="s">
        <v>6</v>
      </c>
      <c r="B778" s="26" t="s">
        <v>13</v>
      </c>
      <c r="C778" s="25"/>
      <c r="D778" s="29"/>
    </row>
    <row r="779" spans="1:11" s="26" customFormat="1">
      <c r="A779" s="24" t="s">
        <v>57</v>
      </c>
      <c r="B779" s="26" t="s">
        <v>246</v>
      </c>
      <c r="C779" s="25"/>
      <c r="D779" s="29"/>
    </row>
    <row r="780" spans="1:11" s="26" customFormat="1">
      <c r="A780" s="24" t="s">
        <v>7</v>
      </c>
      <c r="C780" s="25"/>
    </row>
    <row r="781" spans="1:11" s="26" customFormat="1">
      <c r="A781" s="24" t="s">
        <v>8</v>
      </c>
      <c r="B781" s="24" t="s">
        <v>4</v>
      </c>
      <c r="C781" s="30" t="s">
        <v>9</v>
      </c>
      <c r="D781" s="24" t="s">
        <v>6</v>
      </c>
      <c r="E781" s="24" t="s">
        <v>81</v>
      </c>
      <c r="F781" s="24" t="s">
        <v>10</v>
      </c>
      <c r="G781" s="24" t="s">
        <v>2</v>
      </c>
      <c r="H781" s="24" t="s">
        <v>5</v>
      </c>
      <c r="I781" s="24" t="s">
        <v>11</v>
      </c>
    </row>
    <row r="782" spans="1:11" s="26" customFormat="1">
      <c r="A782" s="31" t="s">
        <v>252</v>
      </c>
      <c r="B782" s="31" t="s">
        <v>252</v>
      </c>
      <c r="C782" s="40">
        <v>1</v>
      </c>
      <c r="D782" s="26" t="s">
        <v>13</v>
      </c>
      <c r="E782" s="31"/>
      <c r="F782" s="31"/>
      <c r="G782" s="31" t="s">
        <v>28</v>
      </c>
      <c r="H782" s="31" t="s">
        <v>18</v>
      </c>
      <c r="I782" s="31"/>
      <c r="J782" s="31"/>
      <c r="K782" s="31"/>
    </row>
    <row r="783" spans="1:11" s="26" customFormat="1">
      <c r="A783" s="31" t="s">
        <v>254</v>
      </c>
      <c r="B783" s="31" t="s">
        <v>254</v>
      </c>
      <c r="C783" s="40">
        <v>1</v>
      </c>
      <c r="D783" s="26" t="s">
        <v>13</v>
      </c>
      <c r="E783" s="31"/>
      <c r="F783" s="31"/>
      <c r="G783" s="31" t="s">
        <v>28</v>
      </c>
      <c r="H783" t="s">
        <v>12</v>
      </c>
      <c r="I783" s="31" t="s">
        <v>257</v>
      </c>
      <c r="J783" s="31"/>
      <c r="K783" s="31"/>
    </row>
    <row r="784" spans="1:11" s="26" customFormat="1">
      <c r="A784" s="31" t="s">
        <v>34</v>
      </c>
      <c r="B784" s="31" t="s">
        <v>33</v>
      </c>
      <c r="C784" s="41">
        <v>0.38400000000000001</v>
      </c>
      <c r="D784" t="s">
        <v>19</v>
      </c>
      <c r="E784" t="s">
        <v>131</v>
      </c>
      <c r="F784"/>
      <c r="G784" t="s">
        <v>28</v>
      </c>
      <c r="H784" t="s">
        <v>12</v>
      </c>
      <c r="I784"/>
      <c r="J784" s="31"/>
      <c r="K784" s="31"/>
    </row>
    <row r="785" spans="1:11" s="26" customFormat="1">
      <c r="A785" t="s">
        <v>184</v>
      </c>
      <c r="B785" t="s">
        <v>185</v>
      </c>
      <c r="C785" s="13">
        <v>2.8400000000000002E-4</v>
      </c>
      <c r="D785" t="s">
        <v>13</v>
      </c>
      <c r="E785" t="s">
        <v>131</v>
      </c>
      <c r="F785"/>
      <c r="G785" t="s">
        <v>96</v>
      </c>
      <c r="H785" t="s">
        <v>12</v>
      </c>
      <c r="I785"/>
      <c r="J785" s="31"/>
      <c r="K785" s="31"/>
    </row>
    <row r="786" spans="1:11" s="26" customFormat="1">
      <c r="A786" t="s">
        <v>233</v>
      </c>
      <c r="B786" t="s">
        <v>234</v>
      </c>
      <c r="C786" s="13">
        <v>3.0400000000000002E-4</v>
      </c>
      <c r="D786" t="s">
        <v>13</v>
      </c>
      <c r="E786" t="s">
        <v>131</v>
      </c>
      <c r="F786"/>
      <c r="G786" t="s">
        <v>96</v>
      </c>
      <c r="H786" t="s">
        <v>12</v>
      </c>
      <c r="I786"/>
      <c r="J786" s="31"/>
      <c r="K786" s="31"/>
    </row>
    <row r="787" spans="1:11" s="26" customFormat="1">
      <c r="A787" t="s">
        <v>186</v>
      </c>
      <c r="B787" t="s">
        <v>187</v>
      </c>
      <c r="C787" s="13">
        <v>8.2600000000000002E-5</v>
      </c>
      <c r="D787" t="s">
        <v>13</v>
      </c>
      <c r="E787" t="s">
        <v>131</v>
      </c>
      <c r="F787"/>
      <c r="G787" t="s">
        <v>96</v>
      </c>
      <c r="H787" t="s">
        <v>12</v>
      </c>
      <c r="I787"/>
      <c r="J787" s="31"/>
      <c r="K787" s="31"/>
    </row>
    <row r="788" spans="1:11" s="26" customFormat="1">
      <c r="A788" t="s">
        <v>235</v>
      </c>
      <c r="B788" t="s">
        <v>236</v>
      </c>
      <c r="C788" s="13">
        <v>8.2699999999999996E-11</v>
      </c>
      <c r="D788" t="s">
        <v>6</v>
      </c>
      <c r="E788" t="s">
        <v>131</v>
      </c>
      <c r="F788"/>
      <c r="G788" t="s">
        <v>36</v>
      </c>
      <c r="H788" t="s">
        <v>12</v>
      </c>
      <c r="I788"/>
      <c r="J788" s="31"/>
      <c r="K788" s="31"/>
    </row>
    <row r="789" spans="1:11" s="26" customFormat="1">
      <c r="A789" t="s">
        <v>237</v>
      </c>
      <c r="B789" t="s">
        <v>238</v>
      </c>
      <c r="C789" s="13">
        <v>7.4400000000000002E-10</v>
      </c>
      <c r="D789" t="s">
        <v>6</v>
      </c>
      <c r="E789" t="s">
        <v>131</v>
      </c>
      <c r="F789"/>
      <c r="G789" t="s">
        <v>96</v>
      </c>
      <c r="H789" t="s">
        <v>12</v>
      </c>
      <c r="I789"/>
      <c r="J789" s="31"/>
      <c r="K789" s="31"/>
    </row>
    <row r="790" spans="1:11" s="26" customFormat="1">
      <c r="A790" t="s">
        <v>239</v>
      </c>
      <c r="B790" t="s">
        <v>240</v>
      </c>
      <c r="C790" s="13">
        <v>3.3099999999999999E-10</v>
      </c>
      <c r="D790" t="s">
        <v>6</v>
      </c>
      <c r="E790" t="s">
        <v>131</v>
      </c>
      <c r="F790"/>
      <c r="G790" t="s">
        <v>96</v>
      </c>
      <c r="H790" t="s">
        <v>12</v>
      </c>
      <c r="I790"/>
      <c r="J790" s="31"/>
      <c r="K790" s="31"/>
    </row>
    <row r="791" spans="1:11" s="26" customFormat="1">
      <c r="A791" t="s">
        <v>97</v>
      </c>
      <c r="B791" t="s">
        <v>98</v>
      </c>
      <c r="C791" s="13">
        <v>5.1400000000000003E-12</v>
      </c>
      <c r="D791" t="s">
        <v>6</v>
      </c>
      <c r="E791" t="s">
        <v>131</v>
      </c>
      <c r="F791"/>
      <c r="G791" t="s">
        <v>96</v>
      </c>
      <c r="H791" t="s">
        <v>12</v>
      </c>
      <c r="I791"/>
      <c r="J791" s="31"/>
      <c r="K791" s="31"/>
    </row>
    <row r="792" spans="1:11" s="26" customFormat="1">
      <c r="A792" t="s">
        <v>241</v>
      </c>
      <c r="B792" t="s">
        <v>242</v>
      </c>
      <c r="C792" s="13">
        <v>5.7899999999999997E-10</v>
      </c>
      <c r="D792" t="s">
        <v>6</v>
      </c>
      <c r="E792" t="s">
        <v>131</v>
      </c>
      <c r="F792"/>
      <c r="G792" t="s">
        <v>96</v>
      </c>
      <c r="H792" t="s">
        <v>12</v>
      </c>
      <c r="I792"/>
      <c r="J792" s="31"/>
      <c r="K792" s="31"/>
    </row>
    <row r="793" spans="1:11" s="26" customFormat="1">
      <c r="A793" t="s">
        <v>243</v>
      </c>
      <c r="B793" t="s">
        <v>244</v>
      </c>
      <c r="C793" s="13">
        <v>-2.2699999999999999E-4</v>
      </c>
      <c r="D793" t="s">
        <v>13</v>
      </c>
      <c r="E793" t="s">
        <v>131</v>
      </c>
      <c r="F793"/>
      <c r="G793" t="s">
        <v>22</v>
      </c>
      <c r="H793" t="s">
        <v>12</v>
      </c>
      <c r="I793"/>
      <c r="J793" s="31"/>
      <c r="K793" s="31"/>
    </row>
    <row r="794" spans="1:11" s="26" customFormat="1">
      <c r="A794" s="31" t="s">
        <v>90</v>
      </c>
      <c r="B794" s="31"/>
      <c r="C794" s="42">
        <v>8.3199999999999996E-2</v>
      </c>
      <c r="D794" s="26" t="s">
        <v>91</v>
      </c>
      <c r="E794" s="31" t="s">
        <v>83</v>
      </c>
      <c r="F794" s="26" t="s">
        <v>92</v>
      </c>
      <c r="G794"/>
      <c r="H794" t="s">
        <v>15</v>
      </c>
      <c r="I794" s="31"/>
      <c r="J794" s="31"/>
      <c r="K794" s="31"/>
    </row>
    <row r="795" spans="1:11" s="26" customFormat="1">
      <c r="A795" t="s">
        <v>194</v>
      </c>
      <c r="B795"/>
      <c r="C795" s="13">
        <v>1.2300000000000001E-4</v>
      </c>
      <c r="D795" t="s">
        <v>13</v>
      </c>
      <c r="E795" s="31" t="s">
        <v>83</v>
      </c>
      <c r="F795" s="28" t="s">
        <v>109</v>
      </c>
      <c r="G795"/>
      <c r="H795" t="s">
        <v>15</v>
      </c>
      <c r="I795"/>
      <c r="J795" s="31"/>
      <c r="K795" s="31"/>
    </row>
    <row r="796" spans="1:11" s="26" customFormat="1">
      <c r="A796" s="31" t="s">
        <v>245</v>
      </c>
      <c r="B796" s="31"/>
      <c r="C796" s="29">
        <v>6.0000000000000002E-6</v>
      </c>
      <c r="D796" s="26" t="s">
        <v>13</v>
      </c>
      <c r="E796" s="31" t="s">
        <v>83</v>
      </c>
      <c r="F796" s="28" t="s">
        <v>109</v>
      </c>
      <c r="G796"/>
      <c r="H796" t="s">
        <v>15</v>
      </c>
      <c r="I796" s="31"/>
      <c r="J796" s="31"/>
      <c r="K796" s="31"/>
    </row>
    <row r="797" spans="1:11" s="49" customFormat="1">
      <c r="B797" s="50"/>
    </row>
    <row r="798" spans="1:11" s="26" customFormat="1">
      <c r="A798" s="24" t="s">
        <v>1</v>
      </c>
      <c r="B798" s="43" t="s">
        <v>254</v>
      </c>
      <c r="C798" s="25"/>
    </row>
    <row r="799" spans="1:11" s="26" customFormat="1">
      <c r="A799" s="24" t="s">
        <v>11</v>
      </c>
      <c r="B799" s="31" t="s">
        <v>255</v>
      </c>
    </row>
    <row r="800" spans="1:11" s="26" customFormat="1">
      <c r="A800" s="24" t="s">
        <v>2</v>
      </c>
      <c r="B800" s="26" t="s">
        <v>28</v>
      </c>
      <c r="C800" s="25"/>
    </row>
    <row r="801" spans="1:11" s="26" customFormat="1">
      <c r="A801" s="27" t="s">
        <v>4</v>
      </c>
      <c r="B801" s="31" t="s">
        <v>254</v>
      </c>
      <c r="C801" s="25"/>
    </row>
    <row r="802" spans="1:11" s="26" customFormat="1">
      <c r="A802" s="24" t="s">
        <v>3</v>
      </c>
      <c r="B802" s="28">
        <v>1</v>
      </c>
      <c r="C802" s="25"/>
      <c r="D802" s="29"/>
    </row>
    <row r="803" spans="1:11" s="26" customFormat="1">
      <c r="A803" s="24" t="s">
        <v>6</v>
      </c>
      <c r="B803" s="26" t="s">
        <v>13</v>
      </c>
      <c r="C803" s="25"/>
      <c r="D803" s="29"/>
    </row>
    <row r="804" spans="1:11" s="26" customFormat="1">
      <c r="A804" s="24" t="s">
        <v>57</v>
      </c>
      <c r="B804" s="26" t="s">
        <v>211</v>
      </c>
      <c r="C804" s="25"/>
      <c r="D804" s="29"/>
    </row>
    <row r="805" spans="1:11" s="26" customFormat="1">
      <c r="A805" s="24" t="s">
        <v>7</v>
      </c>
      <c r="C805" s="25"/>
    </row>
    <row r="806" spans="1:11" s="26" customFormat="1">
      <c r="A806" s="24" t="s">
        <v>8</v>
      </c>
      <c r="B806" s="24" t="s">
        <v>4</v>
      </c>
      <c r="C806" s="30" t="s">
        <v>9</v>
      </c>
      <c r="D806" s="24" t="s">
        <v>6</v>
      </c>
      <c r="E806" s="24" t="s">
        <v>81</v>
      </c>
      <c r="F806" s="24" t="s">
        <v>10</v>
      </c>
      <c r="G806" s="24" t="s">
        <v>2</v>
      </c>
      <c r="H806" s="24" t="s">
        <v>5</v>
      </c>
      <c r="I806" s="24" t="s">
        <v>11</v>
      </c>
    </row>
    <row r="807" spans="1:11" s="26" customFormat="1">
      <c r="A807" s="31" t="s">
        <v>254</v>
      </c>
      <c r="B807" s="31" t="s">
        <v>254</v>
      </c>
      <c r="C807" s="40">
        <v>1</v>
      </c>
      <c r="D807" s="26" t="s">
        <v>13</v>
      </c>
      <c r="E807" s="31"/>
      <c r="F807" s="31"/>
      <c r="G807" s="31" t="s">
        <v>28</v>
      </c>
      <c r="H807" t="s">
        <v>18</v>
      </c>
      <c r="J807" s="31"/>
      <c r="K807" s="31"/>
    </row>
    <row r="808" spans="1:11" s="26" customFormat="1">
      <c r="A808" s="26" t="s">
        <v>178</v>
      </c>
      <c r="B808" s="26" t="s">
        <v>179</v>
      </c>
      <c r="C808" s="44">
        <v>1.3129534488582797E-3</v>
      </c>
      <c r="D808" s="26" t="s">
        <v>13</v>
      </c>
      <c r="E808" t="s">
        <v>131</v>
      </c>
      <c r="G808" s="26" t="s">
        <v>96</v>
      </c>
      <c r="H808" s="26" t="s">
        <v>12</v>
      </c>
      <c r="I808" s="26" t="s">
        <v>256</v>
      </c>
    </row>
    <row r="809" spans="1:11" s="49" customFormat="1">
      <c r="B809" s="50"/>
    </row>
    <row r="810" spans="1:11" s="26" customFormat="1">
      <c r="A810" s="24" t="s">
        <v>1</v>
      </c>
      <c r="B810" s="43" t="s">
        <v>258</v>
      </c>
      <c r="C810" s="25"/>
    </row>
    <row r="811" spans="1:11" s="26" customFormat="1">
      <c r="A811" s="24" t="s">
        <v>11</v>
      </c>
      <c r="B811" s="31" t="s">
        <v>305</v>
      </c>
    </row>
    <row r="812" spans="1:11" s="26" customFormat="1">
      <c r="A812" s="24" t="s">
        <v>2</v>
      </c>
      <c r="B812" s="26" t="s">
        <v>28</v>
      </c>
      <c r="C812" s="25"/>
    </row>
    <row r="813" spans="1:11" s="26" customFormat="1">
      <c r="A813" s="27" t="s">
        <v>4</v>
      </c>
      <c r="B813" s="31" t="s">
        <v>258</v>
      </c>
      <c r="C813" s="25"/>
      <c r="D813" s="29"/>
    </row>
    <row r="814" spans="1:11" s="26" customFormat="1">
      <c r="A814" s="24" t="s">
        <v>3</v>
      </c>
      <c r="B814" s="28">
        <v>1</v>
      </c>
      <c r="C814" s="25"/>
      <c r="D814" s="54"/>
    </row>
    <row r="815" spans="1:11" s="26" customFormat="1">
      <c r="A815" s="24" t="s">
        <v>6</v>
      </c>
      <c r="B815" s="26" t="s">
        <v>6</v>
      </c>
      <c r="C815" s="25"/>
      <c r="D815" s="29"/>
    </row>
    <row r="816" spans="1:11" s="26" customFormat="1">
      <c r="A816" s="24" t="s">
        <v>57</v>
      </c>
      <c r="C816" s="25"/>
    </row>
    <row r="817" spans="1:9" s="26" customFormat="1">
      <c r="A817" s="24" t="s">
        <v>7</v>
      </c>
      <c r="C817" s="25"/>
    </row>
    <row r="818" spans="1:9" s="26" customFormat="1">
      <c r="A818" s="24" t="s">
        <v>8</v>
      </c>
      <c r="B818" s="24" t="s">
        <v>4</v>
      </c>
      <c r="C818" s="30" t="s">
        <v>9</v>
      </c>
      <c r="D818" s="24" t="s">
        <v>6</v>
      </c>
      <c r="E818" s="24" t="s">
        <v>81</v>
      </c>
      <c r="F818" s="24" t="s">
        <v>10</v>
      </c>
      <c r="G818" s="24" t="s">
        <v>2</v>
      </c>
      <c r="H818" s="24" t="s">
        <v>5</v>
      </c>
      <c r="I818" s="24" t="s">
        <v>11</v>
      </c>
    </row>
    <row r="819" spans="1:9" s="26" customFormat="1">
      <c r="A819" s="31" t="s">
        <v>258</v>
      </c>
      <c r="B819" s="31" t="s">
        <v>258</v>
      </c>
      <c r="C819" s="45">
        <v>1</v>
      </c>
      <c r="D819" s="26" t="s">
        <v>6</v>
      </c>
      <c r="E819"/>
      <c r="F819" s="24"/>
      <c r="G819" s="31" t="s">
        <v>28</v>
      </c>
      <c r="H819" t="s">
        <v>18</v>
      </c>
      <c r="I819" s="24"/>
    </row>
    <row r="820" spans="1:9">
      <c r="A820" t="s">
        <v>452</v>
      </c>
      <c r="B820" s="31" t="s">
        <v>259</v>
      </c>
      <c r="C820" s="46">
        <v>0.1764792</v>
      </c>
      <c r="D820" s="26" t="s">
        <v>35</v>
      </c>
      <c r="E820" s="31"/>
      <c r="G820" t="s">
        <v>28</v>
      </c>
      <c r="H820" s="31" t="s">
        <v>12</v>
      </c>
    </row>
    <row r="821" spans="1:9">
      <c r="A821" s="31" t="s">
        <v>34</v>
      </c>
      <c r="B821" s="31" t="s">
        <v>33</v>
      </c>
      <c r="C821" s="53">
        <v>2.47205137945098E-3</v>
      </c>
      <c r="D821" t="s">
        <v>19</v>
      </c>
      <c r="G821" t="s">
        <v>28</v>
      </c>
      <c r="H821" t="s">
        <v>12</v>
      </c>
      <c r="I821" t="s">
        <v>302</v>
      </c>
    </row>
    <row r="822" spans="1:9">
      <c r="A822" t="s">
        <v>138</v>
      </c>
      <c r="B822"/>
      <c r="C822" s="21">
        <v>6.366155912253407E-4</v>
      </c>
      <c r="D822" t="s">
        <v>13</v>
      </c>
      <c r="E822" t="s">
        <v>83</v>
      </c>
      <c r="F822" t="s">
        <v>109</v>
      </c>
      <c r="H822" t="s">
        <v>15</v>
      </c>
      <c r="I822" t="s">
        <v>304</v>
      </c>
    </row>
    <row r="823" spans="1:9">
      <c r="A823" t="s">
        <v>110</v>
      </c>
      <c r="B823"/>
      <c r="C823" s="21">
        <v>7.346844241170861E-3</v>
      </c>
      <c r="D823" t="s">
        <v>13</v>
      </c>
      <c r="E823" t="s">
        <v>83</v>
      </c>
      <c r="F823" t="s">
        <v>109</v>
      </c>
      <c r="H823" t="s">
        <v>15</v>
      </c>
      <c r="I823" t="s">
        <v>304</v>
      </c>
    </row>
    <row r="824" spans="1:9" s="49" customFormat="1">
      <c r="B824" s="50"/>
    </row>
    <row r="825" spans="1:9" s="26" customFormat="1">
      <c r="A825" s="24" t="s">
        <v>1</v>
      </c>
      <c r="B825" s="43" t="s">
        <v>260</v>
      </c>
      <c r="C825" s="25"/>
    </row>
    <row r="826" spans="1:9" s="26" customFormat="1">
      <c r="A826" s="24" t="s">
        <v>11</v>
      </c>
      <c r="B826" s="31" t="s">
        <v>261</v>
      </c>
    </row>
    <row r="827" spans="1:9" s="26" customFormat="1">
      <c r="A827" s="24" t="s">
        <v>2</v>
      </c>
      <c r="B827" s="26" t="s">
        <v>28</v>
      </c>
      <c r="C827" s="25"/>
    </row>
    <row r="828" spans="1:9" s="26" customFormat="1">
      <c r="A828" s="27" t="s">
        <v>4</v>
      </c>
      <c r="B828" s="31" t="s">
        <v>260</v>
      </c>
      <c r="C828" s="25"/>
    </row>
    <row r="829" spans="1:9" s="26" customFormat="1">
      <c r="A829" s="24" t="s">
        <v>3</v>
      </c>
      <c r="B829" s="28">
        <v>1</v>
      </c>
      <c r="C829" s="25"/>
      <c r="D829" s="29"/>
      <c r="F829" s="52"/>
    </row>
    <row r="830" spans="1:9" s="26" customFormat="1">
      <c r="A830" s="24" t="s">
        <v>6</v>
      </c>
      <c r="B830" s="26" t="s">
        <v>6</v>
      </c>
      <c r="C830" s="25"/>
      <c r="D830" s="29"/>
    </row>
    <row r="831" spans="1:9" s="26" customFormat="1">
      <c r="A831" s="24" t="s">
        <v>57</v>
      </c>
      <c r="C831" s="25"/>
      <c r="D831" s="29"/>
    </row>
    <row r="832" spans="1:9" s="26" customFormat="1">
      <c r="A832" s="24" t="s">
        <v>7</v>
      </c>
      <c r="C832" s="25"/>
    </row>
    <row r="833" spans="1:9" s="26" customFormat="1">
      <c r="A833" s="24" t="s">
        <v>8</v>
      </c>
      <c r="B833" s="24" t="s">
        <v>4</v>
      </c>
      <c r="C833" s="30" t="s">
        <v>9</v>
      </c>
      <c r="D833" s="24" t="s">
        <v>6</v>
      </c>
      <c r="E833" s="24" t="s">
        <v>81</v>
      </c>
      <c r="F833" s="24" t="s">
        <v>10</v>
      </c>
      <c r="G833" s="24" t="s">
        <v>2</v>
      </c>
      <c r="H833" s="24" t="s">
        <v>5</v>
      </c>
      <c r="I833" s="24" t="s">
        <v>11</v>
      </c>
    </row>
    <row r="834" spans="1:9" s="26" customFormat="1">
      <c r="A834" s="31" t="s">
        <v>260</v>
      </c>
      <c r="B834" s="31" t="s">
        <v>260</v>
      </c>
      <c r="C834" s="45">
        <v>1</v>
      </c>
      <c r="D834" s="26" t="s">
        <v>6</v>
      </c>
      <c r="E834"/>
      <c r="F834" s="24"/>
      <c r="G834" s="31" t="s">
        <v>28</v>
      </c>
      <c r="H834" t="s">
        <v>18</v>
      </c>
      <c r="I834" s="24"/>
    </row>
    <row r="835" spans="1:9">
      <c r="A835" t="s">
        <v>452</v>
      </c>
      <c r="B835" s="31" t="s">
        <v>259</v>
      </c>
      <c r="C835" s="46">
        <v>0.1764792</v>
      </c>
      <c r="D835" s="26" t="s">
        <v>35</v>
      </c>
      <c r="E835" s="31"/>
      <c r="G835" t="s">
        <v>28</v>
      </c>
      <c r="H835" s="31" t="s">
        <v>12</v>
      </c>
    </row>
    <row r="836" spans="1:9">
      <c r="A836" s="31" t="s">
        <v>34</v>
      </c>
      <c r="B836" s="31" t="s">
        <v>33</v>
      </c>
      <c r="C836" s="53">
        <v>2.5489599999999999E-3</v>
      </c>
      <c r="D836" t="s">
        <v>19</v>
      </c>
      <c r="G836" t="s">
        <v>28</v>
      </c>
      <c r="H836" t="s">
        <v>12</v>
      </c>
      <c r="I836" t="s">
        <v>302</v>
      </c>
    </row>
    <row r="837" spans="1:9">
      <c r="A837" t="s">
        <v>110</v>
      </c>
      <c r="B837"/>
      <c r="C837" s="13">
        <v>7.5754137849407994E-3</v>
      </c>
      <c r="D837" t="s">
        <v>13</v>
      </c>
      <c r="E837" t="s">
        <v>83</v>
      </c>
      <c r="F837" t="s">
        <v>109</v>
      </c>
      <c r="H837" t="s">
        <v>15</v>
      </c>
      <c r="I837" t="s">
        <v>306</v>
      </c>
    </row>
    <row r="838" spans="1:9" s="49" customFormat="1">
      <c r="B838" s="50"/>
    </row>
    <row r="839" spans="1:9">
      <c r="A839" s="24" t="s">
        <v>1</v>
      </c>
      <c r="B839" s="43" t="s">
        <v>285</v>
      </c>
      <c r="C839" s="25"/>
      <c r="D839" s="26"/>
      <c r="E839" s="26"/>
      <c r="F839" s="26"/>
      <c r="G839" s="26"/>
      <c r="H839" s="26"/>
      <c r="I839" s="26"/>
    </row>
    <row r="840" spans="1:9">
      <c r="A840" s="24" t="s">
        <v>11</v>
      </c>
      <c r="B840" s="31" t="s">
        <v>286</v>
      </c>
      <c r="C840" s="26"/>
      <c r="D840" s="26"/>
      <c r="E840" s="26"/>
      <c r="F840" s="26"/>
      <c r="G840" s="26"/>
      <c r="H840" s="26"/>
      <c r="I840" s="26"/>
    </row>
    <row r="841" spans="1:9">
      <c r="A841" s="24" t="s">
        <v>2</v>
      </c>
      <c r="B841" s="26" t="s">
        <v>28</v>
      </c>
      <c r="C841" s="25"/>
      <c r="D841" s="26"/>
      <c r="E841" s="26"/>
      <c r="F841" s="26"/>
      <c r="G841" s="26"/>
      <c r="H841" s="26"/>
      <c r="I841" s="26"/>
    </row>
    <row r="842" spans="1:9">
      <c r="A842" s="27" t="s">
        <v>4</v>
      </c>
      <c r="B842" s="31" t="s">
        <v>99</v>
      </c>
      <c r="C842" s="25"/>
      <c r="D842" s="26"/>
      <c r="E842" s="26"/>
      <c r="F842" s="26"/>
      <c r="G842" s="26"/>
      <c r="H842" s="26"/>
      <c r="I842" s="26"/>
    </row>
    <row r="843" spans="1:9">
      <c r="A843" s="24" t="s">
        <v>3</v>
      </c>
      <c r="B843" s="28">
        <v>1</v>
      </c>
      <c r="C843" s="25"/>
      <c r="D843" s="29"/>
      <c r="E843" s="26"/>
      <c r="F843" s="26"/>
      <c r="G843" s="26"/>
      <c r="H843" s="26"/>
      <c r="I843" s="26"/>
    </row>
    <row r="844" spans="1:9">
      <c r="A844" s="24" t="s">
        <v>6</v>
      </c>
      <c r="B844" s="51" t="s">
        <v>91</v>
      </c>
      <c r="C844" s="25"/>
      <c r="D844" s="29"/>
      <c r="E844" s="26"/>
      <c r="F844" s="26"/>
      <c r="G844" s="26"/>
      <c r="H844" s="26"/>
      <c r="I844" s="26"/>
    </row>
    <row r="845" spans="1:9">
      <c r="A845" s="24" t="s">
        <v>57</v>
      </c>
      <c r="B845" s="26"/>
      <c r="C845" s="25"/>
      <c r="D845" s="29"/>
      <c r="E845" s="26"/>
      <c r="F845" s="26"/>
      <c r="G845" s="26"/>
      <c r="H845" s="26"/>
      <c r="I845" s="26"/>
    </row>
    <row r="846" spans="1:9">
      <c r="A846" s="24" t="s">
        <v>7</v>
      </c>
      <c r="B846" s="26"/>
      <c r="C846" s="25"/>
      <c r="D846" s="26"/>
      <c r="E846" s="26"/>
      <c r="F846" s="26"/>
      <c r="G846" s="26"/>
      <c r="H846" s="26"/>
      <c r="I846" s="26"/>
    </row>
    <row r="847" spans="1:9">
      <c r="A847" s="24" t="s">
        <v>8</v>
      </c>
      <c r="B847" s="24" t="s">
        <v>4</v>
      </c>
      <c r="C847" s="30" t="s">
        <v>9</v>
      </c>
      <c r="D847" s="24" t="s">
        <v>6</v>
      </c>
      <c r="E847" s="24" t="s">
        <v>81</v>
      </c>
      <c r="F847" s="24" t="s">
        <v>10</v>
      </c>
      <c r="G847" s="24" t="s">
        <v>2</v>
      </c>
      <c r="H847" s="24" t="s">
        <v>5</v>
      </c>
      <c r="I847" s="24" t="s">
        <v>11</v>
      </c>
    </row>
    <row r="848" spans="1:9">
      <c r="A848" s="31" t="s">
        <v>285</v>
      </c>
      <c r="B848" s="31" t="s">
        <v>99</v>
      </c>
      <c r="C848" s="26">
        <v>1</v>
      </c>
      <c r="D848" s="26" t="s">
        <v>91</v>
      </c>
      <c r="F848" s="24"/>
      <c r="G848" s="31" t="s">
        <v>28</v>
      </c>
      <c r="H848" t="s">
        <v>18</v>
      </c>
      <c r="I848" s="24"/>
    </row>
    <row r="849" spans="1:9">
      <c r="A849" t="s">
        <v>287</v>
      </c>
      <c r="B849" s="13" t="s">
        <v>287</v>
      </c>
      <c r="C849" s="41">
        <v>0.1764792</v>
      </c>
      <c r="D849" s="26" t="s">
        <v>35</v>
      </c>
      <c r="G849" t="s">
        <v>28</v>
      </c>
      <c r="H849" t="s">
        <v>12</v>
      </c>
      <c r="I849" t="s">
        <v>296</v>
      </c>
    </row>
    <row r="850" spans="1:9">
      <c r="A850" t="s">
        <v>288</v>
      </c>
      <c r="B850" s="13" t="s">
        <v>99</v>
      </c>
      <c r="C850">
        <v>3.6361999999999998E-2</v>
      </c>
      <c r="D850" s="26" t="s">
        <v>91</v>
      </c>
      <c r="G850" t="s">
        <v>28</v>
      </c>
      <c r="H850" t="s">
        <v>12</v>
      </c>
    </row>
    <row r="851" spans="1:9">
      <c r="A851" t="s">
        <v>289</v>
      </c>
      <c r="B851" s="13" t="s">
        <v>99</v>
      </c>
      <c r="C851">
        <v>6.9374000000000005E-2</v>
      </c>
      <c r="D851" s="26" t="s">
        <v>91</v>
      </c>
      <c r="G851" t="s">
        <v>28</v>
      </c>
      <c r="H851" t="s">
        <v>12</v>
      </c>
    </row>
    <row r="852" spans="1:9">
      <c r="A852" t="s">
        <v>290</v>
      </c>
      <c r="B852" s="13" t="s">
        <v>99</v>
      </c>
      <c r="C852">
        <v>8.3135000000000001E-2</v>
      </c>
      <c r="D852" s="26" t="s">
        <v>91</v>
      </c>
      <c r="G852" t="s">
        <v>28</v>
      </c>
      <c r="H852" t="s">
        <v>12</v>
      </c>
    </row>
    <row r="853" spans="1:9">
      <c r="A853" t="s">
        <v>291</v>
      </c>
      <c r="B853" s="13" t="s">
        <v>99</v>
      </c>
      <c r="C853">
        <v>3.4417999999999997E-2</v>
      </c>
      <c r="D853" s="26" t="s">
        <v>91</v>
      </c>
      <c r="G853" t="s">
        <v>28</v>
      </c>
      <c r="H853" t="s">
        <v>12</v>
      </c>
    </row>
    <row r="854" spans="1:9">
      <c r="A854" t="s">
        <v>292</v>
      </c>
      <c r="B854" s="13" t="s">
        <v>99</v>
      </c>
      <c r="C854">
        <v>0.42777999999999999</v>
      </c>
      <c r="D854" s="26" t="s">
        <v>91</v>
      </c>
      <c r="G854" t="s">
        <v>28</v>
      </c>
      <c r="H854" t="s">
        <v>12</v>
      </c>
    </row>
    <row r="855" spans="1:9">
      <c r="A855" t="s">
        <v>293</v>
      </c>
      <c r="B855" s="13" t="s">
        <v>99</v>
      </c>
      <c r="C855">
        <v>0.29048000000000002</v>
      </c>
      <c r="D855" s="26" t="s">
        <v>91</v>
      </c>
      <c r="G855" t="s">
        <v>28</v>
      </c>
      <c r="H855" t="s">
        <v>12</v>
      </c>
    </row>
    <row r="856" spans="1:9">
      <c r="A856" t="s">
        <v>294</v>
      </c>
      <c r="B856" s="13" t="s">
        <v>99</v>
      </c>
      <c r="C856">
        <v>5.8443000000000002E-2</v>
      </c>
      <c r="D856" s="26" t="s">
        <v>91</v>
      </c>
      <c r="G856" t="s">
        <v>28</v>
      </c>
      <c r="H856" t="s">
        <v>12</v>
      </c>
    </row>
    <row r="857" spans="1:9">
      <c r="A857" t="s">
        <v>84</v>
      </c>
      <c r="C857" s="13">
        <v>6.4625669007360007E-5</v>
      </c>
      <c r="D857" s="26" t="s">
        <v>13</v>
      </c>
      <c r="E857" t="s">
        <v>83</v>
      </c>
      <c r="F857" t="s">
        <v>109</v>
      </c>
      <c r="G857" s="13"/>
      <c r="H857" t="s">
        <v>15</v>
      </c>
      <c r="I857" t="s">
        <v>451</v>
      </c>
    </row>
    <row r="858" spans="1:9">
      <c r="A858" t="s">
        <v>32</v>
      </c>
      <c r="C858" s="13">
        <v>2.3123872191696001E-4</v>
      </c>
      <c r="D858" s="26" t="s">
        <v>13</v>
      </c>
      <c r="E858" t="s">
        <v>83</v>
      </c>
      <c r="F858" t="s">
        <v>109</v>
      </c>
      <c r="G858" s="13"/>
      <c r="H858" t="s">
        <v>15</v>
      </c>
      <c r="I858" t="s">
        <v>451</v>
      </c>
    </row>
    <row r="859" spans="1:9">
      <c r="A859" t="s">
        <v>295</v>
      </c>
      <c r="C859" s="13">
        <v>5.5436706695375997E-4</v>
      </c>
      <c r="D859" s="26" t="s">
        <v>13</v>
      </c>
      <c r="E859" t="s">
        <v>83</v>
      </c>
      <c r="F859" t="s">
        <v>109</v>
      </c>
      <c r="G859" s="13"/>
      <c r="H859" t="s">
        <v>15</v>
      </c>
      <c r="I859" t="s">
        <v>451</v>
      </c>
    </row>
    <row r="860" spans="1:9">
      <c r="A860" t="s">
        <v>86</v>
      </c>
      <c r="C860" s="57">
        <v>6.6938056226529602E-3</v>
      </c>
      <c r="D860" s="26" t="s">
        <v>13</v>
      </c>
      <c r="E860" t="s">
        <v>83</v>
      </c>
      <c r="F860" t="s">
        <v>109</v>
      </c>
      <c r="H860" t="s">
        <v>15</v>
      </c>
      <c r="I860" t="s">
        <v>451</v>
      </c>
    </row>
    <row r="861" spans="1:9">
      <c r="A861" t="s">
        <v>142</v>
      </c>
      <c r="C861" s="13">
        <v>5.0488803912000003E-6</v>
      </c>
      <c r="D861" s="26" t="s">
        <v>13</v>
      </c>
      <c r="E861" t="s">
        <v>83</v>
      </c>
      <c r="F861" t="s">
        <v>109</v>
      </c>
      <c r="G861" s="13"/>
      <c r="H861" t="s">
        <v>15</v>
      </c>
      <c r="I861" t="s">
        <v>451</v>
      </c>
    </row>
    <row r="862" spans="1:9">
      <c r="A862" t="s">
        <v>88</v>
      </c>
      <c r="C862" s="13">
        <v>1.2521223370175999E-4</v>
      </c>
      <c r="D862" s="26" t="s">
        <v>13</v>
      </c>
      <c r="E862" t="s">
        <v>83</v>
      </c>
      <c r="F862" t="s">
        <v>109</v>
      </c>
      <c r="G862" s="13"/>
      <c r="H862" t="s">
        <v>15</v>
      </c>
      <c r="I862" t="s">
        <v>451</v>
      </c>
    </row>
    <row r="863" spans="1:9">
      <c r="A863" s="49"/>
      <c r="B863" s="50"/>
      <c r="C863" s="49"/>
      <c r="D863" s="49"/>
      <c r="E863" s="49"/>
      <c r="F863" s="49"/>
      <c r="G863" s="49"/>
      <c r="H863" s="49"/>
      <c r="I863" s="49"/>
    </row>
    <row r="864" spans="1:9">
      <c r="A864" s="24" t="s">
        <v>1</v>
      </c>
      <c r="B864" s="43" t="s">
        <v>300</v>
      </c>
      <c r="C864" s="25"/>
      <c r="D864" s="26"/>
      <c r="E864" s="26"/>
      <c r="F864" s="26"/>
      <c r="G864" s="26"/>
      <c r="H864" s="26"/>
      <c r="I864" s="26"/>
    </row>
    <row r="865" spans="1:9">
      <c r="A865" s="24" t="s">
        <v>11</v>
      </c>
      <c r="B865" s="31" t="s">
        <v>299</v>
      </c>
      <c r="C865" s="26"/>
      <c r="D865" s="26"/>
      <c r="E865" s="26"/>
      <c r="F865" s="26"/>
      <c r="G865" s="26"/>
      <c r="H865" s="26"/>
      <c r="I865" s="26"/>
    </row>
    <row r="866" spans="1:9">
      <c r="A866" s="24" t="s">
        <v>2</v>
      </c>
      <c r="B866" s="26" t="s">
        <v>28</v>
      </c>
      <c r="C866" s="25"/>
      <c r="D866" s="26"/>
      <c r="E866" s="26"/>
      <c r="F866" s="26"/>
      <c r="G866" s="26"/>
      <c r="H866" s="26"/>
      <c r="I866" s="26"/>
    </row>
    <row r="867" spans="1:9">
      <c r="A867" s="27" t="s">
        <v>4</v>
      </c>
      <c r="B867" s="31" t="s">
        <v>170</v>
      </c>
      <c r="C867" s="25"/>
      <c r="D867" s="26"/>
      <c r="E867" s="26"/>
      <c r="F867" s="26"/>
      <c r="G867" s="26"/>
      <c r="H867" s="26"/>
      <c r="I867" s="26"/>
    </row>
    <row r="868" spans="1:9">
      <c r="A868" s="24" t="s">
        <v>3</v>
      </c>
      <c r="B868" s="28">
        <v>1</v>
      </c>
      <c r="C868" s="25"/>
      <c r="D868" s="29"/>
      <c r="E868" s="26"/>
      <c r="F868" s="26"/>
      <c r="G868" s="26"/>
      <c r="H868" s="26"/>
      <c r="I868" s="26"/>
    </row>
    <row r="869" spans="1:9">
      <c r="A869" s="24" t="s">
        <v>6</v>
      </c>
      <c r="B869" s="28" t="s">
        <v>91</v>
      </c>
      <c r="C869" s="25"/>
      <c r="D869" s="29"/>
      <c r="E869" s="26"/>
      <c r="F869" s="26"/>
      <c r="G869" s="26"/>
      <c r="H869" s="26"/>
      <c r="I869" s="26"/>
    </row>
    <row r="870" spans="1:9">
      <c r="A870" s="24" t="s">
        <v>57</v>
      </c>
      <c r="B870" s="26" t="s">
        <v>301</v>
      </c>
      <c r="C870" s="25"/>
      <c r="D870" s="29"/>
      <c r="E870" s="26"/>
      <c r="F870" s="26"/>
      <c r="G870" s="26"/>
      <c r="H870" s="26"/>
      <c r="I870" s="26"/>
    </row>
    <row r="871" spans="1:9">
      <c r="A871" s="24" t="s">
        <v>7</v>
      </c>
      <c r="B871" s="26"/>
      <c r="C871" s="25"/>
      <c r="D871" s="26"/>
      <c r="E871" s="26"/>
      <c r="F871" s="26"/>
      <c r="G871" s="26"/>
      <c r="H871" s="26"/>
      <c r="I871" s="26"/>
    </row>
    <row r="872" spans="1:9">
      <c r="A872" s="24" t="s">
        <v>8</v>
      </c>
      <c r="B872" s="24" t="s">
        <v>4</v>
      </c>
      <c r="C872" s="30" t="s">
        <v>9</v>
      </c>
      <c r="D872" s="24" t="s">
        <v>6</v>
      </c>
      <c r="E872" s="24" t="s">
        <v>81</v>
      </c>
      <c r="F872" s="24" t="s">
        <v>10</v>
      </c>
      <c r="G872" s="24" t="s">
        <v>2</v>
      </c>
      <c r="H872" s="24" t="s">
        <v>5</v>
      </c>
      <c r="I872" s="24" t="s">
        <v>11</v>
      </c>
    </row>
    <row r="873" spans="1:9">
      <c r="A873" s="31" t="s">
        <v>297</v>
      </c>
      <c r="B873" s="31" t="s">
        <v>170</v>
      </c>
      <c r="C873" s="26">
        <v>1</v>
      </c>
      <c r="D873" s="26" t="s">
        <v>91</v>
      </c>
      <c r="F873" s="24"/>
      <c r="G873" s="31" t="s">
        <v>28</v>
      </c>
      <c r="H873" t="s">
        <v>18</v>
      </c>
      <c r="I873" s="24"/>
    </row>
    <row r="874" spans="1:9">
      <c r="A874" t="s">
        <v>298</v>
      </c>
      <c r="B874" s="31" t="s">
        <v>170</v>
      </c>
      <c r="C874" s="26">
        <v>1</v>
      </c>
      <c r="D874" s="26" t="s">
        <v>91</v>
      </c>
      <c r="G874" t="s">
        <v>134</v>
      </c>
      <c r="H874" t="s">
        <v>12</v>
      </c>
    </row>
    <row r="875" spans="1:9">
      <c r="A875" s="49"/>
      <c r="B875" s="50"/>
      <c r="C875" s="49"/>
      <c r="D875" s="49"/>
      <c r="E875" s="49"/>
      <c r="F875" s="49"/>
      <c r="G875" s="49"/>
      <c r="H875" s="49"/>
      <c r="I875" s="49"/>
    </row>
    <row r="876" spans="1:9">
      <c r="A876" s="24" t="s">
        <v>1</v>
      </c>
      <c r="B876" s="43" t="s">
        <v>396</v>
      </c>
      <c r="C876" s="25"/>
      <c r="D876" s="26"/>
      <c r="E876" s="26"/>
      <c r="F876" s="26"/>
      <c r="G876" s="26"/>
      <c r="H876" s="26"/>
      <c r="I876" s="26"/>
    </row>
    <row r="877" spans="1:9">
      <c r="A877" s="24" t="s">
        <v>11</v>
      </c>
      <c r="B877" s="31" t="s">
        <v>397</v>
      </c>
      <c r="C877" s="26"/>
      <c r="D877" s="26"/>
      <c r="E877" s="26"/>
      <c r="F877" s="26"/>
      <c r="G877" s="26"/>
      <c r="H877" s="26"/>
      <c r="I877" s="26"/>
    </row>
    <row r="878" spans="1:9">
      <c r="A878" s="24" t="s">
        <v>2</v>
      </c>
      <c r="B878" s="26" t="s">
        <v>28</v>
      </c>
      <c r="C878" s="25"/>
      <c r="D878" s="26"/>
      <c r="E878" s="26"/>
      <c r="F878" s="26"/>
      <c r="G878" s="26"/>
      <c r="H878" s="26"/>
      <c r="I878" s="26"/>
    </row>
    <row r="879" spans="1:9">
      <c r="A879" s="27" t="s">
        <v>4</v>
      </c>
      <c r="B879" s="31" t="s">
        <v>398</v>
      </c>
      <c r="C879" s="25"/>
      <c r="D879" s="26"/>
      <c r="E879" s="26"/>
      <c r="F879" s="26"/>
      <c r="G879" s="26"/>
      <c r="H879" s="26"/>
      <c r="I879" s="26"/>
    </row>
    <row r="880" spans="1:9">
      <c r="A880" s="24" t="s">
        <v>3</v>
      </c>
      <c r="B880" s="28">
        <v>1</v>
      </c>
      <c r="C880" s="25"/>
      <c r="D880" s="29"/>
      <c r="E880" s="26"/>
      <c r="F880" s="26"/>
      <c r="G880" s="26"/>
      <c r="H880" s="26"/>
      <c r="I880" s="26"/>
    </row>
    <row r="881" spans="1:10">
      <c r="A881" s="24" t="s">
        <v>6</v>
      </c>
      <c r="B881" t="s">
        <v>13</v>
      </c>
      <c r="C881" s="25"/>
      <c r="D881" s="29"/>
      <c r="E881" s="26"/>
      <c r="F881" s="26"/>
      <c r="G881" s="26"/>
      <c r="H881" s="26"/>
      <c r="I881" s="26"/>
    </row>
    <row r="882" spans="1:10">
      <c r="A882" s="24" t="s">
        <v>57</v>
      </c>
      <c r="B882" s="26"/>
      <c r="C882" s="25"/>
      <c r="D882" s="29"/>
      <c r="E882" s="26"/>
      <c r="F882" s="26"/>
      <c r="G882" s="26"/>
      <c r="H882" s="26"/>
      <c r="I882" s="26"/>
    </row>
    <row r="883" spans="1:10">
      <c r="A883" s="24" t="s">
        <v>7</v>
      </c>
      <c r="B883" s="26"/>
      <c r="C883" s="25"/>
      <c r="D883" s="26"/>
      <c r="E883" s="26"/>
      <c r="F883" s="26"/>
      <c r="G883" s="26"/>
      <c r="H883" s="26"/>
      <c r="I883" s="26"/>
    </row>
    <row r="884" spans="1:10">
      <c r="A884" s="24" t="s">
        <v>8</v>
      </c>
      <c r="B884" s="24" t="s">
        <v>4</v>
      </c>
      <c r="C884" s="30" t="s">
        <v>9</v>
      </c>
      <c r="D884" s="24" t="s">
        <v>6</v>
      </c>
      <c r="E884" s="24" t="s">
        <v>81</v>
      </c>
      <c r="F884" s="24" t="s">
        <v>10</v>
      </c>
      <c r="G884" s="24" t="s">
        <v>2</v>
      </c>
      <c r="H884" s="24" t="s">
        <v>5</v>
      </c>
      <c r="I884" s="24" t="s">
        <v>11</v>
      </c>
    </row>
    <row r="885" spans="1:10">
      <c r="A885" s="31" t="s">
        <v>396</v>
      </c>
      <c r="B885" s="31" t="s">
        <v>398</v>
      </c>
      <c r="C885" s="26">
        <v>1</v>
      </c>
      <c r="D885" s="26" t="s">
        <v>13</v>
      </c>
      <c r="F885" s="24"/>
      <c r="G885" s="31" t="s">
        <v>28</v>
      </c>
      <c r="H885" t="s">
        <v>18</v>
      </c>
      <c r="I885" s="24"/>
    </row>
    <row r="886" spans="1:10">
      <c r="A886" s="49"/>
      <c r="B886" s="50"/>
      <c r="C886" s="49"/>
      <c r="D886" s="49"/>
      <c r="E886" s="49"/>
      <c r="F886" s="49"/>
      <c r="G886" s="49"/>
      <c r="H886" s="49"/>
      <c r="I886" s="49"/>
    </row>
    <row r="887" spans="1:10" ht="15.75">
      <c r="A887" s="18" t="s">
        <v>1</v>
      </c>
      <c r="B887" s="43" t="s">
        <v>399</v>
      </c>
    </row>
    <row r="888" spans="1:10">
      <c r="A888" s="24" t="s">
        <v>2</v>
      </c>
      <c r="B888" s="26" t="s">
        <v>28</v>
      </c>
      <c r="H888" s="55"/>
    </row>
    <row r="889" spans="1:10">
      <c r="A889" s="24" t="s">
        <v>3</v>
      </c>
      <c r="B889">
        <v>1</v>
      </c>
      <c r="F889" s="13"/>
      <c r="H889" s="13"/>
    </row>
    <row r="890" spans="1:10">
      <c r="A890" s="24" t="s">
        <v>4</v>
      </c>
      <c r="B890" t="s">
        <v>400</v>
      </c>
      <c r="F890" s="13"/>
      <c r="J890" s="56"/>
    </row>
    <row r="891" spans="1:10">
      <c r="A891" s="24" t="s">
        <v>5</v>
      </c>
      <c r="B891" t="s">
        <v>59</v>
      </c>
      <c r="F891" s="20"/>
    </row>
    <row r="892" spans="1:10">
      <c r="A892" s="24" t="s">
        <v>6</v>
      </c>
      <c r="B892" t="s">
        <v>35</v>
      </c>
    </row>
    <row r="893" spans="1:10">
      <c r="A893" s="24" t="s">
        <v>57</v>
      </c>
      <c r="B893" t="s">
        <v>246</v>
      </c>
    </row>
    <row r="894" spans="1:10" ht="15.75">
      <c r="A894" s="18" t="s">
        <v>7</v>
      </c>
      <c r="B894"/>
    </row>
    <row r="895" spans="1:10">
      <c r="A895" s="24" t="s">
        <v>8</v>
      </c>
      <c r="B895" s="27" t="s">
        <v>4</v>
      </c>
      <c r="C895" s="24" t="s">
        <v>9</v>
      </c>
      <c r="D895" s="24" t="s">
        <v>6</v>
      </c>
      <c r="E895" s="24" t="s">
        <v>81</v>
      </c>
      <c r="F895" s="24" t="s">
        <v>10</v>
      </c>
      <c r="G895" s="30" t="s">
        <v>2</v>
      </c>
      <c r="H895" s="24" t="s">
        <v>5</v>
      </c>
      <c r="I895" s="27" t="s">
        <v>11</v>
      </c>
    </row>
    <row r="896" spans="1:10">
      <c r="A896" t="s">
        <v>138</v>
      </c>
      <c r="B896"/>
      <c r="C896">
        <v>0</v>
      </c>
      <c r="D896" t="s">
        <v>13</v>
      </c>
      <c r="E896" t="s">
        <v>83</v>
      </c>
      <c r="F896" t="s">
        <v>25</v>
      </c>
      <c r="H896" t="s">
        <v>15</v>
      </c>
      <c r="I896" t="s">
        <v>402</v>
      </c>
    </row>
    <row r="897" spans="1:9">
      <c r="A897" t="s">
        <v>138</v>
      </c>
      <c r="B897"/>
      <c r="C897">
        <v>0</v>
      </c>
      <c r="D897" t="s">
        <v>13</v>
      </c>
      <c r="E897" t="s">
        <v>83</v>
      </c>
      <c r="F897" t="s">
        <v>25</v>
      </c>
      <c r="H897" t="s">
        <v>15</v>
      </c>
      <c r="I897" t="s">
        <v>403</v>
      </c>
    </row>
    <row r="898" spans="1:9">
      <c r="A898" t="s">
        <v>138</v>
      </c>
      <c r="B898"/>
      <c r="C898">
        <v>0</v>
      </c>
      <c r="D898" t="s">
        <v>13</v>
      </c>
      <c r="E898" t="s">
        <v>83</v>
      </c>
      <c r="F898" t="s">
        <v>25</v>
      </c>
      <c r="H898" t="s">
        <v>15</v>
      </c>
      <c r="I898" t="s">
        <v>404</v>
      </c>
    </row>
    <row r="899" spans="1:9">
      <c r="A899" t="s">
        <v>140</v>
      </c>
      <c r="B899"/>
      <c r="C899">
        <v>8.1500000000000002E-5</v>
      </c>
      <c r="D899" t="s">
        <v>13</v>
      </c>
      <c r="E899" t="s">
        <v>83</v>
      </c>
      <c r="F899" t="s">
        <v>109</v>
      </c>
      <c r="H899" t="s">
        <v>15</v>
      </c>
      <c r="I899" t="s">
        <v>55</v>
      </c>
    </row>
    <row r="900" spans="1:9">
      <c r="A900" t="s">
        <v>405</v>
      </c>
      <c r="B900"/>
      <c r="C900">
        <v>8.9400000000000008E-6</v>
      </c>
      <c r="D900" t="s">
        <v>13</v>
      </c>
      <c r="E900" t="s">
        <v>83</v>
      </c>
      <c r="F900" t="s">
        <v>109</v>
      </c>
      <c r="H900" t="s">
        <v>15</v>
      </c>
      <c r="I900" t="s">
        <v>55</v>
      </c>
    </row>
    <row r="901" spans="1:9">
      <c r="A901" t="s">
        <v>87</v>
      </c>
      <c r="B901"/>
      <c r="C901">
        <v>4.6900000000000002E-5</v>
      </c>
      <c r="D901" t="s">
        <v>13</v>
      </c>
      <c r="E901" t="s">
        <v>83</v>
      </c>
      <c r="F901" t="s">
        <v>109</v>
      </c>
      <c r="H901" t="s">
        <v>15</v>
      </c>
    </row>
    <row r="902" spans="1:9">
      <c r="A902" t="s">
        <v>406</v>
      </c>
      <c r="B902"/>
      <c r="C902">
        <v>1.2899999999999999E-6</v>
      </c>
      <c r="D902" t="s">
        <v>13</v>
      </c>
      <c r="E902" t="s">
        <v>83</v>
      </c>
      <c r="F902" t="s">
        <v>109</v>
      </c>
      <c r="H902" t="s">
        <v>15</v>
      </c>
      <c r="I902" t="s">
        <v>55</v>
      </c>
    </row>
    <row r="903" spans="1:9">
      <c r="A903" t="s">
        <v>399</v>
      </c>
      <c r="B903" t="s">
        <v>400</v>
      </c>
      <c r="C903">
        <v>1</v>
      </c>
      <c r="D903" t="s">
        <v>35</v>
      </c>
      <c r="G903" t="s">
        <v>28</v>
      </c>
      <c r="H903" t="s">
        <v>18</v>
      </c>
      <c r="I903" t="s">
        <v>55</v>
      </c>
    </row>
    <row r="904" spans="1:9">
      <c r="A904" t="s">
        <v>407</v>
      </c>
      <c r="B904"/>
      <c r="C904">
        <v>1.4500000000000001E-2</v>
      </c>
      <c r="D904" t="s">
        <v>35</v>
      </c>
      <c r="G904" t="s">
        <v>36</v>
      </c>
      <c r="H904" t="s">
        <v>12</v>
      </c>
      <c r="I904" t="s">
        <v>408</v>
      </c>
    </row>
    <row r="905" spans="1:9">
      <c r="A905" t="s">
        <v>409</v>
      </c>
      <c r="B905"/>
      <c r="C905">
        <v>4.7200000000000002E-11</v>
      </c>
      <c r="D905" t="s">
        <v>6</v>
      </c>
      <c r="G905" t="s">
        <v>36</v>
      </c>
      <c r="H905" t="s">
        <v>12</v>
      </c>
      <c r="I905" t="s">
        <v>410</v>
      </c>
    </row>
    <row r="906" spans="1:9">
      <c r="A906" t="s">
        <v>411</v>
      </c>
      <c r="B906" t="s">
        <v>413</v>
      </c>
      <c r="C906">
        <v>9.5E-4</v>
      </c>
      <c r="D906" t="s">
        <v>13</v>
      </c>
      <c r="G906" t="s">
        <v>36</v>
      </c>
      <c r="H906" t="s">
        <v>12</v>
      </c>
      <c r="I906" t="s">
        <v>412</v>
      </c>
    </row>
    <row r="907" spans="1:9">
      <c r="A907" t="s">
        <v>414</v>
      </c>
      <c r="B907" t="s">
        <v>416</v>
      </c>
      <c r="C907">
        <v>1.7399999999999999E-5</v>
      </c>
      <c r="D907" t="s">
        <v>35</v>
      </c>
      <c r="G907" t="s">
        <v>26</v>
      </c>
      <c r="H907" t="s">
        <v>12</v>
      </c>
      <c r="I907" t="s">
        <v>415</v>
      </c>
    </row>
    <row r="908" spans="1:9">
      <c r="A908" t="s">
        <v>417</v>
      </c>
      <c r="B908" t="s">
        <v>419</v>
      </c>
      <c r="C908">
        <v>5.7600000000000001E-4</v>
      </c>
      <c r="D908" t="s">
        <v>13</v>
      </c>
      <c r="G908" t="s">
        <v>26</v>
      </c>
      <c r="H908" t="s">
        <v>12</v>
      </c>
      <c r="I908" t="s">
        <v>418</v>
      </c>
    </row>
    <row r="909" spans="1:9">
      <c r="A909" t="s">
        <v>447</v>
      </c>
      <c r="B909" t="s">
        <v>446</v>
      </c>
      <c r="C909">
        <v>1.1600000000000001E-11</v>
      </c>
      <c r="D909" t="s">
        <v>13</v>
      </c>
      <c r="G909" t="s">
        <v>134</v>
      </c>
      <c r="H909" t="s">
        <v>12</v>
      </c>
      <c r="I909" t="s">
        <v>420</v>
      </c>
    </row>
    <row r="910" spans="1:9">
      <c r="A910" t="s">
        <v>186</v>
      </c>
      <c r="B910" t="s">
        <v>187</v>
      </c>
      <c r="C910">
        <v>5.3499999999999999E-4</v>
      </c>
      <c r="D910" t="s">
        <v>13</v>
      </c>
      <c r="G910" t="s">
        <v>96</v>
      </c>
      <c r="H910" t="s">
        <v>12</v>
      </c>
      <c r="I910" t="s">
        <v>421</v>
      </c>
    </row>
    <row r="911" spans="1:9">
      <c r="A911" t="s">
        <v>156</v>
      </c>
      <c r="B911" t="s">
        <v>157</v>
      </c>
      <c r="C911">
        <v>5.6100000000000004E-3</v>
      </c>
      <c r="D911" t="s">
        <v>158</v>
      </c>
      <c r="G911" t="s">
        <v>36</v>
      </c>
      <c r="H911" t="s">
        <v>12</v>
      </c>
      <c r="I911" t="s">
        <v>422</v>
      </c>
    </row>
    <row r="912" spans="1:9">
      <c r="A912" t="s">
        <v>156</v>
      </c>
      <c r="B912" t="s">
        <v>157</v>
      </c>
      <c r="C912">
        <v>2.7399999999999999E-4</v>
      </c>
      <c r="D912" t="s">
        <v>158</v>
      </c>
      <c r="G912" t="s">
        <v>36</v>
      </c>
      <c r="H912" t="s">
        <v>12</v>
      </c>
      <c r="I912" t="s">
        <v>423</v>
      </c>
    </row>
    <row r="913" spans="1:10">
      <c r="A913" t="s">
        <v>424</v>
      </c>
      <c r="B913" t="s">
        <v>426</v>
      </c>
      <c r="C913">
        <v>0.1020326</v>
      </c>
      <c r="D913" t="s">
        <v>13</v>
      </c>
      <c r="G913" t="s">
        <v>22</v>
      </c>
      <c r="H913" t="s">
        <v>12</v>
      </c>
      <c r="I913" t="s">
        <v>425</v>
      </c>
    </row>
    <row r="914" spans="1:10">
      <c r="A914" t="s">
        <v>340</v>
      </c>
      <c r="B914" t="s">
        <v>33</v>
      </c>
      <c r="C914">
        <v>1.77E-2</v>
      </c>
      <c r="D914" t="s">
        <v>19</v>
      </c>
      <c r="G914" t="s">
        <v>427</v>
      </c>
      <c r="H914" t="s">
        <v>12</v>
      </c>
      <c r="I914" t="s">
        <v>55</v>
      </c>
    </row>
    <row r="915" spans="1:10">
      <c r="A915" t="s">
        <v>450</v>
      </c>
      <c r="B915" t="s">
        <v>449</v>
      </c>
      <c r="C915">
        <v>1.1600000000000001E-11</v>
      </c>
      <c r="D915" t="s">
        <v>13</v>
      </c>
      <c r="G915" t="s">
        <v>428</v>
      </c>
      <c r="H915" t="s">
        <v>12</v>
      </c>
      <c r="I915" t="s">
        <v>420</v>
      </c>
    </row>
    <row r="916" spans="1:10">
      <c r="A916" t="s">
        <v>429</v>
      </c>
      <c r="B916" t="s">
        <v>431</v>
      </c>
      <c r="C916">
        <v>-2.0200000000000001E-3</v>
      </c>
      <c r="D916" t="s">
        <v>13</v>
      </c>
      <c r="G916" t="s">
        <v>26</v>
      </c>
      <c r="H916" t="s">
        <v>12</v>
      </c>
      <c r="I916" t="s">
        <v>430</v>
      </c>
    </row>
    <row r="917" spans="1:10">
      <c r="A917" t="s">
        <v>432</v>
      </c>
      <c r="B917" t="s">
        <v>434</v>
      </c>
      <c r="C917">
        <v>-1.1600000000000001E-11</v>
      </c>
      <c r="D917" t="s">
        <v>13</v>
      </c>
      <c r="G917" t="s">
        <v>26</v>
      </c>
      <c r="H917" t="s">
        <v>12</v>
      </c>
      <c r="I917" t="s">
        <v>433</v>
      </c>
    </row>
    <row r="918" spans="1:10">
      <c r="A918" t="s">
        <v>435</v>
      </c>
      <c r="B918" t="s">
        <v>437</v>
      </c>
      <c r="C918">
        <v>-1.1600000000000001E-11</v>
      </c>
      <c r="D918" t="s">
        <v>13</v>
      </c>
      <c r="G918" t="s">
        <v>26</v>
      </c>
      <c r="H918" t="s">
        <v>12</v>
      </c>
      <c r="I918" t="s">
        <v>436</v>
      </c>
    </row>
    <row r="919" spans="1:10">
      <c r="A919" t="s">
        <v>438</v>
      </c>
      <c r="B919" t="s">
        <v>440</v>
      </c>
      <c r="C919">
        <v>-5.63E-5</v>
      </c>
      <c r="D919" t="s">
        <v>13</v>
      </c>
      <c r="G919" t="s">
        <v>26</v>
      </c>
      <c r="H919" t="s">
        <v>12</v>
      </c>
      <c r="I919" t="s">
        <v>439</v>
      </c>
    </row>
    <row r="920" spans="1:10">
      <c r="A920" t="s">
        <v>441</v>
      </c>
      <c r="B920" t="s">
        <v>443</v>
      </c>
      <c r="C920">
        <v>-9.4499999999999998E-4</v>
      </c>
      <c r="D920" t="s">
        <v>13</v>
      </c>
      <c r="G920" t="s">
        <v>26</v>
      </c>
      <c r="H920" t="s">
        <v>12</v>
      </c>
      <c r="I920" t="s">
        <v>442</v>
      </c>
    </row>
    <row r="921" spans="1:10">
      <c r="A921" t="s">
        <v>448</v>
      </c>
      <c r="B921" t="s">
        <v>445</v>
      </c>
      <c r="C921">
        <v>6.28E-6</v>
      </c>
      <c r="D921" t="s">
        <v>13</v>
      </c>
      <c r="G921" t="s">
        <v>96</v>
      </c>
      <c r="H921" t="s">
        <v>12</v>
      </c>
      <c r="I921" t="s">
        <v>444</v>
      </c>
    </row>
    <row r="922" spans="1:10">
      <c r="A922" t="s">
        <v>401</v>
      </c>
      <c r="B922" t="s">
        <v>401</v>
      </c>
      <c r="C922" s="13">
        <v>0.15468000000000001</v>
      </c>
      <c r="D922" t="s">
        <v>13</v>
      </c>
      <c r="G922" t="s">
        <v>36</v>
      </c>
      <c r="H922" t="s">
        <v>12</v>
      </c>
    </row>
    <row r="923" spans="1:10">
      <c r="A923" s="49"/>
      <c r="B923" s="50"/>
      <c r="C923" s="49"/>
      <c r="D923" s="49"/>
      <c r="E923" s="49"/>
      <c r="F923" s="49"/>
      <c r="G923" s="49"/>
      <c r="H923" s="49"/>
      <c r="I923" s="49"/>
    </row>
    <row r="924" spans="1:10" ht="15.75">
      <c r="A924" s="18" t="s">
        <v>1</v>
      </c>
      <c r="B924" s="43" t="s">
        <v>455</v>
      </c>
    </row>
    <row r="925" spans="1:10">
      <c r="A925" s="24" t="s">
        <v>2</v>
      </c>
      <c r="B925" s="26" t="s">
        <v>28</v>
      </c>
      <c r="H925" s="55"/>
    </row>
    <row r="926" spans="1:10">
      <c r="A926" s="24" t="s">
        <v>3</v>
      </c>
      <c r="B926">
        <v>1</v>
      </c>
      <c r="F926" s="13"/>
      <c r="H926" s="13"/>
    </row>
    <row r="927" spans="1:10">
      <c r="A927" s="24" t="s">
        <v>4</v>
      </c>
      <c r="B927" t="s">
        <v>454</v>
      </c>
      <c r="F927" s="13"/>
      <c r="J927" s="56"/>
    </row>
    <row r="928" spans="1:10">
      <c r="A928" s="24" t="s">
        <v>5</v>
      </c>
      <c r="B928" t="s">
        <v>59</v>
      </c>
      <c r="F928" s="20"/>
    </row>
    <row r="929" spans="1:9">
      <c r="A929" s="24" t="s">
        <v>6</v>
      </c>
      <c r="B929" t="s">
        <v>35</v>
      </c>
    </row>
    <row r="930" spans="1:9">
      <c r="A930" s="24" t="s">
        <v>57</v>
      </c>
      <c r="B930" t="s">
        <v>246</v>
      </c>
    </row>
    <row r="931" spans="1:9" ht="15.75">
      <c r="A931" s="18" t="s">
        <v>7</v>
      </c>
      <c r="B931"/>
    </row>
    <row r="932" spans="1:9">
      <c r="A932" s="24" t="s">
        <v>8</v>
      </c>
      <c r="B932" s="27" t="s">
        <v>4</v>
      </c>
      <c r="C932" s="24" t="s">
        <v>9</v>
      </c>
      <c r="D932" s="24" t="s">
        <v>6</v>
      </c>
      <c r="E932" s="24" t="s">
        <v>81</v>
      </c>
      <c r="F932" s="24" t="s">
        <v>10</v>
      </c>
      <c r="G932" s="30" t="s">
        <v>2</v>
      </c>
      <c r="H932" s="24" t="s">
        <v>5</v>
      </c>
      <c r="I932" s="27" t="s">
        <v>11</v>
      </c>
    </row>
    <row r="933" spans="1:9">
      <c r="A933" t="s">
        <v>138</v>
      </c>
      <c r="B933"/>
      <c r="C933">
        <f>0.152-C934</f>
        <v>9.7280000000000005E-2</v>
      </c>
      <c r="D933" t="s">
        <v>13</v>
      </c>
      <c r="E933" t="s">
        <v>83</v>
      </c>
      <c r="F933" t="s">
        <v>25</v>
      </c>
      <c r="H933" t="s">
        <v>15</v>
      </c>
    </row>
    <row r="934" spans="1:9">
      <c r="A934" t="s">
        <v>32</v>
      </c>
      <c r="B934"/>
      <c r="C934">
        <f>0.152*0.36</f>
        <v>5.4719999999999998E-2</v>
      </c>
      <c r="D934" t="s">
        <v>13</v>
      </c>
      <c r="E934" t="s">
        <v>83</v>
      </c>
      <c r="F934" t="s">
        <v>25</v>
      </c>
      <c r="H934" t="s">
        <v>15</v>
      </c>
      <c r="I934" t="s">
        <v>456</v>
      </c>
    </row>
    <row r="935" spans="1:9">
      <c r="A935" t="s">
        <v>138</v>
      </c>
      <c r="B935"/>
      <c r="C935">
        <v>1.1100000000000001E-3</v>
      </c>
      <c r="D935" t="s">
        <v>13</v>
      </c>
      <c r="E935" t="s">
        <v>83</v>
      </c>
      <c r="F935" t="s">
        <v>25</v>
      </c>
      <c r="H935" t="s">
        <v>15</v>
      </c>
      <c r="I935" t="s">
        <v>403</v>
      </c>
    </row>
    <row r="936" spans="1:9">
      <c r="A936" t="s">
        <v>138</v>
      </c>
      <c r="B936"/>
      <c r="C936">
        <v>1.57E-3</v>
      </c>
      <c r="D936" t="s">
        <v>13</v>
      </c>
      <c r="E936" t="s">
        <v>83</v>
      </c>
      <c r="F936" t="s">
        <v>25</v>
      </c>
      <c r="H936" t="s">
        <v>15</v>
      </c>
      <c r="I936" t="s">
        <v>404</v>
      </c>
    </row>
    <row r="937" spans="1:9">
      <c r="A937" t="s">
        <v>140</v>
      </c>
      <c r="B937"/>
      <c r="C937">
        <v>8.1500000000000002E-5</v>
      </c>
      <c r="D937" t="s">
        <v>13</v>
      </c>
      <c r="E937" t="s">
        <v>83</v>
      </c>
      <c r="F937" t="s">
        <v>109</v>
      </c>
      <c r="H937" t="s">
        <v>15</v>
      </c>
      <c r="I937" t="s">
        <v>55</v>
      </c>
    </row>
    <row r="938" spans="1:9">
      <c r="A938" t="s">
        <v>405</v>
      </c>
      <c r="B938"/>
      <c r="C938">
        <v>8.9400000000000008E-6</v>
      </c>
      <c r="D938" t="s">
        <v>13</v>
      </c>
      <c r="E938" t="s">
        <v>83</v>
      </c>
      <c r="F938" t="s">
        <v>109</v>
      </c>
      <c r="H938" t="s">
        <v>15</v>
      </c>
      <c r="I938" t="s">
        <v>55</v>
      </c>
    </row>
    <row r="939" spans="1:9">
      <c r="A939" t="s">
        <v>87</v>
      </c>
      <c r="B939"/>
      <c r="C939">
        <v>4.6900000000000002E-5</v>
      </c>
      <c r="D939" t="s">
        <v>13</v>
      </c>
      <c r="E939" t="s">
        <v>83</v>
      </c>
      <c r="F939" t="s">
        <v>109</v>
      </c>
      <c r="H939" t="s">
        <v>15</v>
      </c>
    </row>
    <row r="940" spans="1:9">
      <c r="A940" t="s">
        <v>406</v>
      </c>
      <c r="B940"/>
      <c r="C940">
        <v>1.2899999999999999E-6</v>
      </c>
      <c r="D940" t="s">
        <v>13</v>
      </c>
      <c r="E940" t="s">
        <v>83</v>
      </c>
      <c r="F940" t="s">
        <v>109</v>
      </c>
      <c r="H940" t="s">
        <v>15</v>
      </c>
      <c r="I940" t="s">
        <v>55</v>
      </c>
    </row>
    <row r="941" spans="1:9">
      <c r="A941" t="s">
        <v>455</v>
      </c>
      <c r="B941" t="s">
        <v>454</v>
      </c>
      <c r="C941">
        <v>1</v>
      </c>
      <c r="D941" t="s">
        <v>35</v>
      </c>
      <c r="G941" t="s">
        <v>28</v>
      </c>
      <c r="H941" t="s">
        <v>18</v>
      </c>
      <c r="I941" t="s">
        <v>55</v>
      </c>
    </row>
    <row r="942" spans="1:9">
      <c r="A942" t="s">
        <v>407</v>
      </c>
      <c r="B942"/>
      <c r="C942">
        <v>1.4500000000000001E-2</v>
      </c>
      <c r="D942" t="s">
        <v>35</v>
      </c>
      <c r="G942" t="s">
        <v>36</v>
      </c>
      <c r="H942" t="s">
        <v>12</v>
      </c>
      <c r="I942" t="s">
        <v>408</v>
      </c>
    </row>
    <row r="943" spans="1:9">
      <c r="A943" t="s">
        <v>409</v>
      </c>
      <c r="B943"/>
      <c r="C943">
        <v>4.7200000000000002E-11</v>
      </c>
      <c r="D943" t="s">
        <v>6</v>
      </c>
      <c r="G943" t="s">
        <v>36</v>
      </c>
      <c r="H943" t="s">
        <v>12</v>
      </c>
      <c r="I943" t="s">
        <v>410</v>
      </c>
    </row>
    <row r="944" spans="1:9">
      <c r="A944" t="s">
        <v>411</v>
      </c>
      <c r="B944" t="s">
        <v>413</v>
      </c>
      <c r="C944">
        <v>9.5E-4</v>
      </c>
      <c r="D944" t="s">
        <v>13</v>
      </c>
      <c r="G944" t="s">
        <v>36</v>
      </c>
      <c r="H944" t="s">
        <v>12</v>
      </c>
      <c r="I944" t="s">
        <v>412</v>
      </c>
    </row>
    <row r="945" spans="1:9">
      <c r="A945" t="s">
        <v>414</v>
      </c>
      <c r="B945" t="s">
        <v>416</v>
      </c>
      <c r="C945">
        <v>1.7399999999999999E-5</v>
      </c>
      <c r="D945" t="s">
        <v>35</v>
      </c>
      <c r="G945" t="s">
        <v>26</v>
      </c>
      <c r="H945" t="s">
        <v>12</v>
      </c>
      <c r="I945" t="s">
        <v>415</v>
      </c>
    </row>
    <row r="946" spans="1:9">
      <c r="A946" t="s">
        <v>417</v>
      </c>
      <c r="B946" t="s">
        <v>419</v>
      </c>
      <c r="C946">
        <v>5.7600000000000001E-4</v>
      </c>
      <c r="D946" t="s">
        <v>13</v>
      </c>
      <c r="G946" t="s">
        <v>26</v>
      </c>
      <c r="H946" t="s">
        <v>12</v>
      </c>
      <c r="I946" t="s">
        <v>418</v>
      </c>
    </row>
    <row r="947" spans="1:9">
      <c r="A947" t="s">
        <v>447</v>
      </c>
      <c r="B947" t="s">
        <v>446</v>
      </c>
      <c r="C947">
        <v>1.1600000000000001E-11</v>
      </c>
      <c r="D947" t="s">
        <v>13</v>
      </c>
      <c r="G947" t="s">
        <v>134</v>
      </c>
      <c r="H947" t="s">
        <v>12</v>
      </c>
      <c r="I947" t="s">
        <v>420</v>
      </c>
    </row>
    <row r="948" spans="1:9">
      <c r="A948" t="s">
        <v>186</v>
      </c>
      <c r="B948" t="s">
        <v>187</v>
      </c>
      <c r="C948">
        <v>5.3499999999999999E-4</v>
      </c>
      <c r="D948" t="s">
        <v>13</v>
      </c>
      <c r="G948" t="s">
        <v>96</v>
      </c>
      <c r="H948" t="s">
        <v>12</v>
      </c>
      <c r="I948" t="s">
        <v>421</v>
      </c>
    </row>
    <row r="949" spans="1:9">
      <c r="A949" t="s">
        <v>156</v>
      </c>
      <c r="B949" t="s">
        <v>157</v>
      </c>
      <c r="C949">
        <v>5.6100000000000004E-3</v>
      </c>
      <c r="D949" t="s">
        <v>158</v>
      </c>
      <c r="G949" t="s">
        <v>36</v>
      </c>
      <c r="H949" t="s">
        <v>12</v>
      </c>
      <c r="I949" t="s">
        <v>422</v>
      </c>
    </row>
    <row r="950" spans="1:9">
      <c r="A950" t="s">
        <v>156</v>
      </c>
      <c r="B950" t="s">
        <v>157</v>
      </c>
      <c r="C950">
        <v>2.7399999999999999E-4</v>
      </c>
      <c r="D950" t="s">
        <v>158</v>
      </c>
      <c r="G950" t="s">
        <v>36</v>
      </c>
      <c r="H950" t="s">
        <v>12</v>
      </c>
      <c r="I950" t="s">
        <v>423</v>
      </c>
    </row>
    <row r="951" spans="1:9">
      <c r="A951" s="31" t="s">
        <v>457</v>
      </c>
      <c r="B951" s="31" t="s">
        <v>398</v>
      </c>
      <c r="C951">
        <v>0.1020326</v>
      </c>
      <c r="D951" t="s">
        <v>13</v>
      </c>
      <c r="G951" s="31" t="s">
        <v>28</v>
      </c>
      <c r="H951" t="s">
        <v>12</v>
      </c>
      <c r="I951" t="s">
        <v>453</v>
      </c>
    </row>
    <row r="952" spans="1:9">
      <c r="A952" t="s">
        <v>340</v>
      </c>
      <c r="B952" t="s">
        <v>33</v>
      </c>
      <c r="C952">
        <v>1.77E-2</v>
      </c>
      <c r="D952" t="s">
        <v>19</v>
      </c>
      <c r="G952" t="s">
        <v>427</v>
      </c>
      <c r="H952" t="s">
        <v>12</v>
      </c>
      <c r="I952" t="s">
        <v>55</v>
      </c>
    </row>
    <row r="953" spans="1:9">
      <c r="A953" t="s">
        <v>450</v>
      </c>
      <c r="B953" t="s">
        <v>449</v>
      </c>
      <c r="C953">
        <v>1.1600000000000001E-11</v>
      </c>
      <c r="D953" t="s">
        <v>13</v>
      </c>
      <c r="G953" t="s">
        <v>428</v>
      </c>
      <c r="H953" t="s">
        <v>12</v>
      </c>
      <c r="I953" t="s">
        <v>420</v>
      </c>
    </row>
    <row r="954" spans="1:9">
      <c r="A954" t="s">
        <v>429</v>
      </c>
      <c r="B954" t="s">
        <v>431</v>
      </c>
      <c r="C954">
        <v>-2.0200000000000001E-3</v>
      </c>
      <c r="D954" t="s">
        <v>13</v>
      </c>
      <c r="G954" t="s">
        <v>26</v>
      </c>
      <c r="H954" t="s">
        <v>12</v>
      </c>
      <c r="I954" t="s">
        <v>430</v>
      </c>
    </row>
    <row r="955" spans="1:9">
      <c r="A955" t="s">
        <v>432</v>
      </c>
      <c r="B955" t="s">
        <v>434</v>
      </c>
      <c r="C955">
        <v>-1.1600000000000001E-11</v>
      </c>
      <c r="D955" t="s">
        <v>13</v>
      </c>
      <c r="G955" t="s">
        <v>26</v>
      </c>
      <c r="H955" t="s">
        <v>12</v>
      </c>
      <c r="I955" t="s">
        <v>433</v>
      </c>
    </row>
    <row r="956" spans="1:9">
      <c r="A956" t="s">
        <v>435</v>
      </c>
      <c r="B956" t="s">
        <v>437</v>
      </c>
      <c r="C956">
        <v>-1.1600000000000001E-11</v>
      </c>
      <c r="D956" t="s">
        <v>13</v>
      </c>
      <c r="G956" t="s">
        <v>26</v>
      </c>
      <c r="H956" t="s">
        <v>12</v>
      </c>
      <c r="I956" t="s">
        <v>436</v>
      </c>
    </row>
    <row r="957" spans="1:9">
      <c r="A957" t="s">
        <v>438</v>
      </c>
      <c r="B957" t="s">
        <v>440</v>
      </c>
      <c r="C957">
        <v>-5.63E-5</v>
      </c>
      <c r="D957" t="s">
        <v>13</v>
      </c>
      <c r="G957" t="s">
        <v>26</v>
      </c>
      <c r="H957" t="s">
        <v>12</v>
      </c>
      <c r="I957" t="s">
        <v>439</v>
      </c>
    </row>
    <row r="958" spans="1:9">
      <c r="A958" t="s">
        <v>441</v>
      </c>
      <c r="B958" t="s">
        <v>443</v>
      </c>
      <c r="C958">
        <v>-9.4499999999999998E-4</v>
      </c>
      <c r="D958" t="s">
        <v>13</v>
      </c>
      <c r="G958" t="s">
        <v>26</v>
      </c>
      <c r="H958" t="s">
        <v>12</v>
      </c>
      <c r="I958" t="s">
        <v>442</v>
      </c>
    </row>
    <row r="959" spans="1:9">
      <c r="A959" t="s">
        <v>448</v>
      </c>
      <c r="B959" t="s">
        <v>445</v>
      </c>
      <c r="C959">
        <v>6.28E-6</v>
      </c>
      <c r="D959" t="s">
        <v>13</v>
      </c>
      <c r="G959" t="s">
        <v>96</v>
      </c>
      <c r="H959" t="s">
        <v>12</v>
      </c>
      <c r="I959" t="s">
        <v>444</v>
      </c>
    </row>
    <row r="960" spans="1:9">
      <c r="A960" s="49"/>
      <c r="B960" s="50"/>
      <c r="C960" s="49"/>
      <c r="D960" s="49"/>
      <c r="E960" s="49"/>
      <c r="F960" s="49"/>
      <c r="G960" s="49"/>
      <c r="H960" s="49"/>
      <c r="I960" s="49"/>
    </row>
    <row r="961" spans="1:10" ht="15.75">
      <c r="A961" s="18" t="s">
        <v>1</v>
      </c>
      <c r="B961" s="43" t="s">
        <v>458</v>
      </c>
    </row>
    <row r="962" spans="1:10">
      <c r="A962" s="24" t="s">
        <v>2</v>
      </c>
      <c r="B962" s="26" t="s">
        <v>28</v>
      </c>
      <c r="H962" s="55"/>
    </row>
    <row r="963" spans="1:10">
      <c r="A963" s="24" t="s">
        <v>3</v>
      </c>
      <c r="B963">
        <v>1</v>
      </c>
      <c r="F963" s="13"/>
      <c r="H963" s="13"/>
    </row>
    <row r="964" spans="1:10">
      <c r="A964" s="24" t="s">
        <v>4</v>
      </c>
      <c r="B964" t="s">
        <v>459</v>
      </c>
      <c r="F964" s="13"/>
      <c r="J964" s="56"/>
    </row>
    <row r="965" spans="1:10">
      <c r="A965" s="24" t="s">
        <v>5</v>
      </c>
      <c r="B965" t="s">
        <v>59</v>
      </c>
      <c r="F965" s="20"/>
    </row>
    <row r="966" spans="1:10">
      <c r="A966" s="24" t="s">
        <v>6</v>
      </c>
      <c r="B966" t="s">
        <v>13</v>
      </c>
    </row>
    <row r="967" spans="1:10">
      <c r="A967" s="24" t="s">
        <v>57</v>
      </c>
      <c r="B967" t="s">
        <v>460</v>
      </c>
    </row>
    <row r="968" spans="1:10" ht="15.75">
      <c r="A968" s="18" t="s">
        <v>7</v>
      </c>
      <c r="B968" s="26"/>
      <c r="C968" s="25"/>
      <c r="D968" s="26"/>
      <c r="E968" s="26"/>
      <c r="F968" s="26"/>
      <c r="G968" s="26"/>
      <c r="H968" s="26"/>
      <c r="I968" s="26"/>
    </row>
    <row r="969" spans="1:10">
      <c r="A969" s="24" t="s">
        <v>8</v>
      </c>
      <c r="B969" s="24" t="s">
        <v>4</v>
      </c>
      <c r="C969" s="30" t="s">
        <v>9</v>
      </c>
      <c r="D969" s="24" t="s">
        <v>6</v>
      </c>
      <c r="E969" s="24" t="s">
        <v>81</v>
      </c>
      <c r="F969" s="24" t="s">
        <v>10</v>
      </c>
      <c r="G969" s="24" t="s">
        <v>2</v>
      </c>
      <c r="H969" s="24" t="s">
        <v>5</v>
      </c>
      <c r="I969" s="24" t="s">
        <v>11</v>
      </c>
    </row>
    <row r="970" spans="1:10">
      <c r="A970" s="31" t="s">
        <v>458</v>
      </c>
      <c r="B970" s="31" t="s">
        <v>459</v>
      </c>
      <c r="C970" s="26">
        <v>1</v>
      </c>
      <c r="D970" s="26" t="s">
        <v>13</v>
      </c>
      <c r="F970" s="24"/>
      <c r="G970" s="31" t="s">
        <v>28</v>
      </c>
      <c r="H970" t="s">
        <v>18</v>
      </c>
      <c r="I970" s="24"/>
    </row>
    <row r="971" spans="1:10">
      <c r="A971" s="26" t="s">
        <v>465</v>
      </c>
      <c r="B971" s="13" t="s">
        <v>466</v>
      </c>
      <c r="C971" s="41">
        <v>1.7509999999999999</v>
      </c>
      <c r="D971" s="26" t="s">
        <v>13</v>
      </c>
      <c r="G971" t="s">
        <v>96</v>
      </c>
      <c r="H971" t="s">
        <v>12</v>
      </c>
    </row>
    <row r="972" spans="1:10">
      <c r="A972" s="31" t="s">
        <v>30</v>
      </c>
      <c r="B972" s="31" t="s">
        <v>31</v>
      </c>
      <c r="C972">
        <v>4.779502986996028E-2</v>
      </c>
      <c r="D972" s="26" t="s">
        <v>13</v>
      </c>
      <c r="G972" s="31" t="s">
        <v>22</v>
      </c>
      <c r="H972" t="s">
        <v>12</v>
      </c>
    </row>
    <row r="973" spans="1:10">
      <c r="A973" s="31" t="s">
        <v>467</v>
      </c>
      <c r="B973" s="31" t="s">
        <v>468</v>
      </c>
      <c r="C973">
        <v>0.17513974577662458</v>
      </c>
      <c r="D973" s="26" t="s">
        <v>158</v>
      </c>
      <c r="G973" t="s">
        <v>36</v>
      </c>
      <c r="H973" t="s">
        <v>12</v>
      </c>
    </row>
    <row r="974" spans="1:10">
      <c r="A974" s="31" t="s">
        <v>34</v>
      </c>
      <c r="B974" s="31" t="s">
        <v>33</v>
      </c>
      <c r="C974">
        <v>2.29E-2</v>
      </c>
      <c r="D974" t="s">
        <v>19</v>
      </c>
      <c r="G974" t="s">
        <v>28</v>
      </c>
      <c r="H974" t="s">
        <v>12</v>
      </c>
    </row>
    <row r="975" spans="1:10">
      <c r="A975" s="58" t="s">
        <v>461</v>
      </c>
      <c r="B975" s="13" t="s">
        <v>462</v>
      </c>
      <c r="C975">
        <v>2E-3</v>
      </c>
      <c r="D975" s="26" t="s">
        <v>35</v>
      </c>
      <c r="G975" t="s">
        <v>28</v>
      </c>
      <c r="H975" t="s">
        <v>12</v>
      </c>
    </row>
    <row r="976" spans="1:10">
      <c r="A976" t="s">
        <v>463</v>
      </c>
      <c r="B976" s="13" t="s">
        <v>464</v>
      </c>
      <c r="C976">
        <v>-4.7795029869960301E-2</v>
      </c>
      <c r="D976" s="26" t="s">
        <v>91</v>
      </c>
      <c r="G976" t="s">
        <v>96</v>
      </c>
      <c r="H976" t="s">
        <v>12</v>
      </c>
    </row>
    <row r="977" spans="1:10">
      <c r="A977" t="s">
        <v>93</v>
      </c>
      <c r="C977" s="13">
        <v>0.75139745776624589</v>
      </c>
      <c r="D977" s="26" t="s">
        <v>91</v>
      </c>
      <c r="E977" t="s">
        <v>83</v>
      </c>
      <c r="F977" t="s">
        <v>25</v>
      </c>
      <c r="G977" s="13"/>
      <c r="H977" t="s">
        <v>15</v>
      </c>
    </row>
    <row r="978" spans="1:10">
      <c r="A978" s="49"/>
      <c r="B978" s="50"/>
      <c r="C978" s="49"/>
      <c r="D978" s="49"/>
      <c r="E978" s="49"/>
      <c r="F978" s="49"/>
      <c r="G978" s="49"/>
      <c r="H978" s="49"/>
      <c r="I978" s="49"/>
    </row>
    <row r="979" spans="1:10" ht="15.75">
      <c r="A979" s="18" t="s">
        <v>1</v>
      </c>
      <c r="B979" s="43" t="s">
        <v>469</v>
      </c>
    </row>
    <row r="980" spans="1:10">
      <c r="A980" s="24" t="s">
        <v>2</v>
      </c>
      <c r="B980" s="26" t="s">
        <v>28</v>
      </c>
      <c r="H980" s="55"/>
    </row>
    <row r="981" spans="1:10">
      <c r="A981" s="24" t="s">
        <v>3</v>
      </c>
      <c r="B981">
        <v>1</v>
      </c>
      <c r="F981" s="13"/>
      <c r="H981" s="13"/>
    </row>
    <row r="982" spans="1:10">
      <c r="A982" s="24" t="s">
        <v>4</v>
      </c>
      <c r="B982" t="s">
        <v>470</v>
      </c>
      <c r="F982" s="13"/>
      <c r="J982" s="56"/>
    </row>
    <row r="983" spans="1:10">
      <c r="A983" s="24" t="s">
        <v>5</v>
      </c>
      <c r="B983" t="s">
        <v>59</v>
      </c>
      <c r="F983" s="20"/>
    </row>
    <row r="984" spans="1:10">
      <c r="A984" s="24" t="s">
        <v>6</v>
      </c>
      <c r="B984" t="s">
        <v>13</v>
      </c>
    </row>
    <row r="985" spans="1:10">
      <c r="A985" s="24" t="s">
        <v>57</v>
      </c>
      <c r="B985" t="s">
        <v>473</v>
      </c>
    </row>
    <row r="986" spans="1:10" ht="15.75">
      <c r="A986" s="18" t="s">
        <v>7</v>
      </c>
      <c r="B986" s="26"/>
      <c r="C986" s="25"/>
      <c r="D986" s="26"/>
      <c r="E986" s="26"/>
      <c r="F986" s="26"/>
      <c r="G986" s="26"/>
      <c r="H986" s="26"/>
      <c r="I986" s="26"/>
    </row>
    <row r="987" spans="1:10">
      <c r="A987" s="24" t="s">
        <v>8</v>
      </c>
      <c r="B987" s="24" t="s">
        <v>4</v>
      </c>
      <c r="C987" s="30" t="s">
        <v>9</v>
      </c>
      <c r="D987" s="24" t="s">
        <v>6</v>
      </c>
      <c r="E987" s="24" t="s">
        <v>81</v>
      </c>
      <c r="F987" s="24" t="s">
        <v>10</v>
      </c>
      <c r="G987" s="24" t="s">
        <v>2</v>
      </c>
      <c r="H987" s="24" t="s">
        <v>5</v>
      </c>
      <c r="I987" s="24" t="s">
        <v>11</v>
      </c>
    </row>
    <row r="988" spans="1:10">
      <c r="A988" s="31" t="s">
        <v>469</v>
      </c>
      <c r="B988" s="31" t="s">
        <v>470</v>
      </c>
      <c r="C988" s="26">
        <v>1</v>
      </c>
      <c r="D988" s="26" t="s">
        <v>13</v>
      </c>
      <c r="F988" s="24"/>
      <c r="G988" s="31" t="s">
        <v>28</v>
      </c>
      <c r="H988" t="s">
        <v>18</v>
      </c>
      <c r="I988" s="24"/>
    </row>
    <row r="989" spans="1:10">
      <c r="A989" s="31" t="s">
        <v>458</v>
      </c>
      <c r="B989" s="31" t="s">
        <v>459</v>
      </c>
      <c r="C989" s="41">
        <v>1.02</v>
      </c>
      <c r="D989" s="26" t="s">
        <v>13</v>
      </c>
      <c r="G989" t="s">
        <v>28</v>
      </c>
      <c r="H989" t="s">
        <v>12</v>
      </c>
    </row>
    <row r="990" spans="1:10">
      <c r="A990" s="31" t="s">
        <v>30</v>
      </c>
      <c r="B990" s="31" t="s">
        <v>31</v>
      </c>
      <c r="C990">
        <v>0.02</v>
      </c>
      <c r="D990" s="26" t="s">
        <v>13</v>
      </c>
      <c r="G990" s="31" t="s">
        <v>22</v>
      </c>
      <c r="H990" t="s">
        <v>12</v>
      </c>
    </row>
    <row r="991" spans="1:10">
      <c r="A991" s="31" t="s">
        <v>472</v>
      </c>
      <c r="B991" s="31" t="s">
        <v>471</v>
      </c>
      <c r="C991">
        <v>7.6485543677358989E-4</v>
      </c>
      <c r="D991" s="26" t="s">
        <v>13</v>
      </c>
      <c r="G991" t="s">
        <v>96</v>
      </c>
      <c r="H991" t="s">
        <v>12</v>
      </c>
    </row>
    <row r="992" spans="1:10">
      <c r="A992" s="31" t="s">
        <v>233</v>
      </c>
      <c r="B992" s="31" t="s">
        <v>234</v>
      </c>
      <c r="C992">
        <v>1.4532253298698207E-3</v>
      </c>
      <c r="D992" s="26" t="s">
        <v>13</v>
      </c>
      <c r="G992" t="s">
        <v>96</v>
      </c>
      <c r="H992" t="s">
        <v>12</v>
      </c>
    </row>
    <row r="993" spans="1:10">
      <c r="A993" s="31" t="s">
        <v>34</v>
      </c>
      <c r="B993" s="31" t="s">
        <v>33</v>
      </c>
      <c r="C993">
        <v>0.01</v>
      </c>
      <c r="D993" t="s">
        <v>19</v>
      </c>
      <c r="G993" t="s">
        <v>28</v>
      </c>
      <c r="H993" t="s">
        <v>12</v>
      </c>
    </row>
    <row r="994" spans="1:10">
      <c r="A994" t="s">
        <v>474</v>
      </c>
      <c r="B994" s="13" t="s">
        <v>475</v>
      </c>
      <c r="C994">
        <v>-0.02</v>
      </c>
      <c r="D994" s="26" t="s">
        <v>91</v>
      </c>
      <c r="G994" s="31" t="s">
        <v>22</v>
      </c>
      <c r="H994" t="s">
        <v>12</v>
      </c>
    </row>
    <row r="995" spans="1:10">
      <c r="A995" s="49"/>
      <c r="B995" s="50"/>
      <c r="C995" s="49"/>
      <c r="D995" s="49"/>
      <c r="E995" s="49"/>
      <c r="F995" s="49"/>
      <c r="G995" s="49"/>
      <c r="H995" s="49"/>
      <c r="I995" s="49"/>
    </row>
    <row r="996" spans="1:10" ht="15.75">
      <c r="A996" s="18" t="s">
        <v>1</v>
      </c>
      <c r="B996" s="43" t="s">
        <v>480</v>
      </c>
    </row>
    <row r="997" spans="1:10">
      <c r="A997" s="24" t="s">
        <v>2</v>
      </c>
      <c r="B997" s="26" t="s">
        <v>28</v>
      </c>
      <c r="H997" s="55"/>
    </row>
    <row r="998" spans="1:10">
      <c r="A998" s="24" t="s">
        <v>3</v>
      </c>
      <c r="B998">
        <v>1</v>
      </c>
      <c r="F998" s="13"/>
      <c r="H998" s="13"/>
    </row>
    <row r="999" spans="1:10">
      <c r="A999" s="24" t="s">
        <v>4</v>
      </c>
      <c r="B999" s="43" t="s">
        <v>480</v>
      </c>
      <c r="F999" s="13"/>
      <c r="J999" s="56"/>
    </row>
    <row r="1000" spans="1:10">
      <c r="A1000" s="24" t="s">
        <v>5</v>
      </c>
      <c r="B1000" t="s">
        <v>59</v>
      </c>
      <c r="F1000" s="20"/>
    </row>
    <row r="1001" spans="1:10">
      <c r="A1001" s="24" t="s">
        <v>6</v>
      </c>
      <c r="B1001" t="s">
        <v>13</v>
      </c>
    </row>
    <row r="1002" spans="1:10">
      <c r="A1002" s="24" t="s">
        <v>57</v>
      </c>
      <c r="B1002" t="s">
        <v>478</v>
      </c>
    </row>
    <row r="1003" spans="1:10" ht="15.75">
      <c r="A1003" s="18" t="s">
        <v>7</v>
      </c>
      <c r="B1003" s="26"/>
      <c r="C1003" s="25"/>
      <c r="D1003" s="26"/>
      <c r="E1003" s="26"/>
      <c r="F1003" s="26"/>
      <c r="G1003" s="26"/>
      <c r="H1003" s="26"/>
      <c r="I1003" s="26"/>
    </row>
    <row r="1004" spans="1:10">
      <c r="A1004" s="24" t="s">
        <v>8</v>
      </c>
      <c r="B1004" s="24" t="s">
        <v>4</v>
      </c>
      <c r="C1004" s="30" t="s">
        <v>9</v>
      </c>
      <c r="D1004" s="24" t="s">
        <v>6</v>
      </c>
      <c r="E1004" s="24" t="s">
        <v>81</v>
      </c>
      <c r="F1004" s="24" t="s">
        <v>10</v>
      </c>
      <c r="G1004" s="24" t="s">
        <v>2</v>
      </c>
      <c r="H1004" s="24" t="s">
        <v>5</v>
      </c>
      <c r="I1004" s="24" t="s">
        <v>11</v>
      </c>
    </row>
    <row r="1005" spans="1:10">
      <c r="A1005" s="31" t="s">
        <v>480</v>
      </c>
      <c r="B1005" s="31" t="s">
        <v>480</v>
      </c>
      <c r="C1005" s="26">
        <v>1</v>
      </c>
      <c r="D1005" s="26" t="s">
        <v>13</v>
      </c>
      <c r="F1005" s="24"/>
      <c r="G1005" s="31" t="s">
        <v>28</v>
      </c>
      <c r="H1005" t="s">
        <v>18</v>
      </c>
      <c r="I1005" s="24"/>
    </row>
    <row r="1006" spans="1:10">
      <c r="A1006" s="31" t="s">
        <v>34</v>
      </c>
      <c r="B1006" s="31" t="s">
        <v>33</v>
      </c>
      <c r="C1006" s="13">
        <v>2.2599999999999999E-2</v>
      </c>
      <c r="D1006" t="s">
        <v>19</v>
      </c>
      <c r="G1006" t="s">
        <v>28</v>
      </c>
      <c r="H1006" t="s">
        <v>12</v>
      </c>
    </row>
    <row r="1007" spans="1:10">
      <c r="A1007" s="58" t="s">
        <v>461</v>
      </c>
      <c r="B1007" s="13" t="s">
        <v>462</v>
      </c>
      <c r="C1007">
        <v>5.8150000000000004</v>
      </c>
      <c r="D1007" s="26" t="s">
        <v>35</v>
      </c>
      <c r="G1007" t="s">
        <v>28</v>
      </c>
      <c r="H1007" t="s">
        <v>12</v>
      </c>
    </row>
    <row r="1008" spans="1:10">
      <c r="A1008" t="s">
        <v>481</v>
      </c>
      <c r="B1008" s="13" t="s">
        <v>482</v>
      </c>
      <c r="C1008" s="13">
        <v>1.2333333333333333E-2</v>
      </c>
      <c r="D1008" s="26" t="s">
        <v>13</v>
      </c>
      <c r="G1008" s="13" t="s">
        <v>96</v>
      </c>
      <c r="H1008" t="s">
        <v>12</v>
      </c>
    </row>
    <row r="1009" spans="1:10">
      <c r="A1009" t="s">
        <v>447</v>
      </c>
      <c r="B1009" s="13" t="s">
        <v>446</v>
      </c>
      <c r="C1009" s="13">
        <v>0.98766666666666669</v>
      </c>
      <c r="D1009" s="26" t="s">
        <v>13</v>
      </c>
      <c r="G1009" s="13" t="s">
        <v>489</v>
      </c>
      <c r="H1009" t="s">
        <v>12</v>
      </c>
    </row>
    <row r="1010" spans="1:10">
      <c r="A1010" s="31" t="s">
        <v>483</v>
      </c>
      <c r="B1010" s="13" t="s">
        <v>484</v>
      </c>
      <c r="C1010" s="13">
        <v>0.04</v>
      </c>
      <c r="D1010" s="26" t="s">
        <v>13</v>
      </c>
      <c r="G1010" s="13" t="s">
        <v>485</v>
      </c>
      <c r="H1010" t="s">
        <v>12</v>
      </c>
    </row>
    <row r="1011" spans="1:10">
      <c r="A1011" s="31" t="s">
        <v>233</v>
      </c>
      <c r="B1011" s="31" t="s">
        <v>234</v>
      </c>
      <c r="C1011" s="13">
        <v>8.3000000000000004E-2</v>
      </c>
      <c r="D1011" s="26" t="s">
        <v>13</v>
      </c>
      <c r="G1011" t="s">
        <v>96</v>
      </c>
      <c r="H1011" t="s">
        <v>12</v>
      </c>
    </row>
    <row r="1012" spans="1:10">
      <c r="A1012" s="31" t="s">
        <v>30</v>
      </c>
      <c r="B1012" s="31" t="s">
        <v>31</v>
      </c>
      <c r="C1012" s="13">
        <v>0.45424999999999999</v>
      </c>
      <c r="D1012" s="26" t="s">
        <v>13</v>
      </c>
      <c r="G1012" s="31" t="s">
        <v>22</v>
      </c>
      <c r="H1012" t="s">
        <v>12</v>
      </c>
    </row>
    <row r="1013" spans="1:10">
      <c r="A1013" s="49"/>
      <c r="B1013" s="50"/>
      <c r="C1013" s="49"/>
      <c r="D1013" s="49"/>
      <c r="E1013" s="49"/>
      <c r="F1013" s="49"/>
      <c r="G1013" s="49"/>
      <c r="H1013" s="49"/>
      <c r="I1013" s="49"/>
    </row>
    <row r="1014" spans="1:10" ht="15.75">
      <c r="A1014" s="18" t="s">
        <v>1</v>
      </c>
      <c r="B1014" s="43" t="s">
        <v>476</v>
      </c>
    </row>
    <row r="1015" spans="1:10">
      <c r="A1015" s="24" t="s">
        <v>2</v>
      </c>
      <c r="B1015" s="26" t="s">
        <v>28</v>
      </c>
      <c r="H1015" s="55"/>
    </row>
    <row r="1016" spans="1:10">
      <c r="A1016" s="24" t="s">
        <v>3</v>
      </c>
      <c r="B1016">
        <v>1</v>
      </c>
      <c r="F1016" s="13"/>
      <c r="H1016" s="13"/>
    </row>
    <row r="1017" spans="1:10">
      <c r="A1017" s="24" t="s">
        <v>4</v>
      </c>
      <c r="B1017" t="s">
        <v>477</v>
      </c>
      <c r="F1017" s="13"/>
      <c r="J1017" s="56"/>
    </row>
    <row r="1018" spans="1:10">
      <c r="A1018" s="24" t="s">
        <v>5</v>
      </c>
      <c r="B1018" t="s">
        <v>59</v>
      </c>
      <c r="F1018" s="20"/>
    </row>
    <row r="1019" spans="1:10">
      <c r="A1019" s="24" t="s">
        <v>6</v>
      </c>
      <c r="B1019" t="s">
        <v>13</v>
      </c>
    </row>
    <row r="1020" spans="1:10">
      <c r="A1020" s="24" t="s">
        <v>57</v>
      </c>
      <c r="B1020" t="s">
        <v>478</v>
      </c>
    </row>
    <row r="1021" spans="1:10" ht="15.75">
      <c r="A1021" s="18" t="s">
        <v>7</v>
      </c>
      <c r="B1021" s="26"/>
      <c r="C1021" s="25"/>
      <c r="D1021" s="26"/>
      <c r="E1021" s="26"/>
      <c r="F1021" s="26"/>
      <c r="G1021" s="26"/>
      <c r="H1021" s="26"/>
      <c r="I1021" s="26"/>
    </row>
    <row r="1022" spans="1:10">
      <c r="A1022" s="24" t="s">
        <v>8</v>
      </c>
      <c r="B1022" s="24" t="s">
        <v>4</v>
      </c>
      <c r="C1022" s="30" t="s">
        <v>9</v>
      </c>
      <c r="D1022" s="24" t="s">
        <v>6</v>
      </c>
      <c r="E1022" s="24" t="s">
        <v>81</v>
      </c>
      <c r="F1022" s="24" t="s">
        <v>10</v>
      </c>
      <c r="G1022" s="24" t="s">
        <v>2</v>
      </c>
      <c r="H1022" s="24" t="s">
        <v>5</v>
      </c>
      <c r="I1022" s="24" t="s">
        <v>11</v>
      </c>
    </row>
    <row r="1023" spans="1:10">
      <c r="A1023" s="31" t="s">
        <v>476</v>
      </c>
      <c r="B1023" s="31" t="s">
        <v>477</v>
      </c>
      <c r="C1023" s="26">
        <v>1</v>
      </c>
      <c r="D1023" s="26" t="s">
        <v>13</v>
      </c>
      <c r="F1023" s="24"/>
      <c r="G1023" s="31" t="s">
        <v>28</v>
      </c>
      <c r="H1023" t="s">
        <v>18</v>
      </c>
      <c r="I1023" s="24"/>
    </row>
    <row r="1024" spans="1:10">
      <c r="A1024" s="31" t="s">
        <v>469</v>
      </c>
      <c r="B1024" s="31" t="s">
        <v>470</v>
      </c>
      <c r="C1024" s="41">
        <v>1.35</v>
      </c>
      <c r="D1024" s="26" t="s">
        <v>13</v>
      </c>
      <c r="G1024" t="s">
        <v>28</v>
      </c>
      <c r="H1024" t="s">
        <v>12</v>
      </c>
    </row>
    <row r="1025" spans="1:10">
      <c r="A1025" s="31" t="s">
        <v>30</v>
      </c>
      <c r="B1025" s="31" t="s">
        <v>31</v>
      </c>
      <c r="C1025">
        <v>0.02</v>
      </c>
      <c r="D1025" s="26" t="s">
        <v>13</v>
      </c>
      <c r="G1025" s="31" t="s">
        <v>22</v>
      </c>
      <c r="H1025" t="s">
        <v>12</v>
      </c>
    </row>
    <row r="1026" spans="1:10">
      <c r="A1026" s="31" t="s">
        <v>100</v>
      </c>
      <c r="B1026" t="s">
        <v>38</v>
      </c>
      <c r="C1026">
        <v>3.8444917129434458E-2</v>
      </c>
      <c r="D1026" s="26" t="s">
        <v>13</v>
      </c>
      <c r="G1026" t="s">
        <v>28</v>
      </c>
      <c r="H1026" t="s">
        <v>12</v>
      </c>
    </row>
    <row r="1027" spans="1:10">
      <c r="A1027" s="31" t="s">
        <v>480</v>
      </c>
      <c r="B1027" s="31" t="s">
        <v>480</v>
      </c>
      <c r="C1027">
        <v>2.966014848457161E-5</v>
      </c>
      <c r="D1027" s="26" t="s">
        <v>13</v>
      </c>
      <c r="G1027" t="s">
        <v>28</v>
      </c>
      <c r="H1027" t="s">
        <v>12</v>
      </c>
    </row>
    <row r="1028" spans="1:10">
      <c r="A1028" s="31" t="s">
        <v>34</v>
      </c>
      <c r="B1028" s="31" t="s">
        <v>33</v>
      </c>
      <c r="C1028">
        <v>0.08</v>
      </c>
      <c r="D1028" t="s">
        <v>19</v>
      </c>
      <c r="G1028" t="s">
        <v>28</v>
      </c>
      <c r="H1028" t="s">
        <v>12</v>
      </c>
    </row>
    <row r="1029" spans="1:10">
      <c r="A1029" s="58" t="s">
        <v>461</v>
      </c>
      <c r="B1029" s="13" t="s">
        <v>462</v>
      </c>
      <c r="C1029">
        <v>4.17</v>
      </c>
      <c r="D1029" s="26" t="s">
        <v>35</v>
      </c>
      <c r="G1029" t="s">
        <v>28</v>
      </c>
      <c r="H1029" t="s">
        <v>12</v>
      </c>
    </row>
    <row r="1030" spans="1:10">
      <c r="A1030" t="s">
        <v>138</v>
      </c>
      <c r="C1030" s="13">
        <v>0.16600000000000001</v>
      </c>
      <c r="D1030" s="26" t="s">
        <v>13</v>
      </c>
      <c r="E1030" t="s">
        <v>83</v>
      </c>
      <c r="F1030" t="s">
        <v>109</v>
      </c>
      <c r="G1030" s="13"/>
      <c r="H1030" t="s">
        <v>15</v>
      </c>
    </row>
    <row r="1031" spans="1:10">
      <c r="A1031" s="31" t="s">
        <v>140</v>
      </c>
      <c r="C1031" s="13">
        <v>2.3E-2</v>
      </c>
      <c r="D1031" s="26" t="s">
        <v>13</v>
      </c>
      <c r="E1031" t="s">
        <v>83</v>
      </c>
      <c r="F1031" t="s">
        <v>109</v>
      </c>
      <c r="G1031" s="13"/>
      <c r="H1031" t="s">
        <v>15</v>
      </c>
    </row>
    <row r="1032" spans="1:10">
      <c r="A1032" t="s">
        <v>93</v>
      </c>
      <c r="C1032" s="13">
        <v>0.13200000000000001</v>
      </c>
      <c r="D1032" s="26" t="s">
        <v>91</v>
      </c>
      <c r="E1032" t="s">
        <v>83</v>
      </c>
      <c r="F1032" t="s">
        <v>25</v>
      </c>
      <c r="G1032" s="13"/>
      <c r="H1032" t="s">
        <v>15</v>
      </c>
    </row>
    <row r="1033" spans="1:10">
      <c r="A1033" t="s">
        <v>479</v>
      </c>
      <c r="C1033" s="13">
        <v>4.0000000000000001E-3</v>
      </c>
      <c r="D1033" s="26" t="s">
        <v>13</v>
      </c>
      <c r="E1033" t="s">
        <v>83</v>
      </c>
      <c r="F1033" t="s">
        <v>25</v>
      </c>
      <c r="G1033" s="13"/>
      <c r="H1033" t="s">
        <v>15</v>
      </c>
    </row>
    <row r="1034" spans="1:10">
      <c r="A1034" s="49"/>
      <c r="B1034" s="50"/>
      <c r="C1034" s="49"/>
      <c r="D1034" s="49"/>
      <c r="E1034" s="49"/>
      <c r="F1034" s="49"/>
      <c r="G1034" s="49"/>
      <c r="H1034" s="49"/>
      <c r="I1034" s="49"/>
    </row>
    <row r="1035" spans="1:10" ht="15.75">
      <c r="A1035" s="18" t="s">
        <v>1</v>
      </c>
      <c r="B1035" s="43" t="s">
        <v>486</v>
      </c>
    </row>
    <row r="1036" spans="1:10">
      <c r="A1036" s="24" t="s">
        <v>2</v>
      </c>
      <c r="B1036" s="26" t="s">
        <v>28</v>
      </c>
      <c r="H1036" s="55"/>
    </row>
    <row r="1037" spans="1:10">
      <c r="A1037" s="24" t="s">
        <v>3</v>
      </c>
      <c r="B1037">
        <v>1</v>
      </c>
      <c r="F1037" s="13"/>
      <c r="H1037" s="13"/>
    </row>
    <row r="1038" spans="1:10">
      <c r="A1038" s="24" t="s">
        <v>4</v>
      </c>
      <c r="B1038" t="s">
        <v>487</v>
      </c>
      <c r="F1038" s="13"/>
      <c r="J1038" s="56"/>
    </row>
    <row r="1039" spans="1:10">
      <c r="A1039" s="24" t="s">
        <v>5</v>
      </c>
      <c r="B1039" t="s">
        <v>59</v>
      </c>
      <c r="F1039" s="20"/>
    </row>
    <row r="1040" spans="1:10">
      <c r="A1040" s="24" t="s">
        <v>6</v>
      </c>
      <c r="B1040" t="s">
        <v>13</v>
      </c>
    </row>
    <row r="1041" spans="1:9">
      <c r="A1041" s="24" t="s">
        <v>57</v>
      </c>
      <c r="B1041" t="s">
        <v>478</v>
      </c>
    </row>
    <row r="1042" spans="1:9" ht="15.75">
      <c r="A1042" s="18" t="s">
        <v>7</v>
      </c>
      <c r="B1042" s="26"/>
      <c r="C1042" s="25"/>
      <c r="D1042" s="26"/>
      <c r="E1042" s="26"/>
      <c r="F1042" s="26"/>
      <c r="G1042" s="26"/>
      <c r="H1042" s="26"/>
      <c r="I1042" s="26"/>
    </row>
    <row r="1043" spans="1:9">
      <c r="A1043" s="24" t="s">
        <v>8</v>
      </c>
      <c r="B1043" s="24" t="s">
        <v>4</v>
      </c>
      <c r="C1043" s="30" t="s">
        <v>9</v>
      </c>
      <c r="D1043" s="24" t="s">
        <v>6</v>
      </c>
      <c r="E1043" s="24" t="s">
        <v>81</v>
      </c>
      <c r="F1043" s="24" t="s">
        <v>10</v>
      </c>
      <c r="G1043" s="24" t="s">
        <v>2</v>
      </c>
      <c r="H1043" s="24" t="s">
        <v>5</v>
      </c>
      <c r="I1043" s="24" t="s">
        <v>11</v>
      </c>
    </row>
    <row r="1044" spans="1:9">
      <c r="A1044" s="31" t="s">
        <v>486</v>
      </c>
      <c r="B1044" t="s">
        <v>487</v>
      </c>
      <c r="C1044" s="26">
        <v>1</v>
      </c>
      <c r="D1044" s="26" t="s">
        <v>13</v>
      </c>
      <c r="F1044" s="24"/>
      <c r="G1044" s="31" t="s">
        <v>28</v>
      </c>
      <c r="H1044" t="s">
        <v>18</v>
      </c>
      <c r="I1044" s="26" t="s">
        <v>488</v>
      </c>
    </row>
    <row r="1045" spans="1:9">
      <c r="A1045" s="31" t="s">
        <v>476</v>
      </c>
      <c r="B1045" s="31" t="s">
        <v>477</v>
      </c>
      <c r="C1045" s="41">
        <v>1.9251563934282565</v>
      </c>
      <c r="D1045" s="26" t="s">
        <v>13</v>
      </c>
      <c r="G1045" t="s">
        <v>28</v>
      </c>
      <c r="H1045" t="s">
        <v>12</v>
      </c>
    </row>
    <row r="1046" spans="1:9">
      <c r="A1046" s="31" t="s">
        <v>100</v>
      </c>
      <c r="B1046" t="s">
        <v>38</v>
      </c>
      <c r="C1046">
        <v>1.2513516557283666E-2</v>
      </c>
      <c r="D1046" s="26" t="s">
        <v>13</v>
      </c>
      <c r="G1046" t="s">
        <v>28</v>
      </c>
      <c r="H1046" t="s">
        <v>12</v>
      </c>
    </row>
    <row r="1047" spans="1:9">
      <c r="A1047" s="31" t="s">
        <v>480</v>
      </c>
      <c r="B1047" s="31" t="s">
        <v>480</v>
      </c>
      <c r="C1047">
        <v>4.2272109117479624E-5</v>
      </c>
      <c r="D1047" s="26" t="s">
        <v>13</v>
      </c>
      <c r="G1047" t="s">
        <v>28</v>
      </c>
      <c r="H1047" t="s">
        <v>12</v>
      </c>
    </row>
    <row r="1048" spans="1:9">
      <c r="A1048" s="31" t="s">
        <v>34</v>
      </c>
      <c r="B1048" s="31" t="s">
        <v>33</v>
      </c>
      <c r="C1048">
        <v>9.7719999999999987E-2</v>
      </c>
      <c r="D1048" t="s">
        <v>19</v>
      </c>
      <c r="G1048" t="s">
        <v>28</v>
      </c>
      <c r="H1048" t="s">
        <v>12</v>
      </c>
    </row>
    <row r="1049" spans="1:9">
      <c r="A1049" s="58" t="s">
        <v>461</v>
      </c>
      <c r="B1049" s="13" t="s">
        <v>462</v>
      </c>
      <c r="C1049">
        <v>8.0279021605958292</v>
      </c>
      <c r="D1049" s="26" t="s">
        <v>35</v>
      </c>
      <c r="G1049" t="s">
        <v>28</v>
      </c>
      <c r="H1049" t="s">
        <v>12</v>
      </c>
    </row>
    <row r="1050" spans="1:9">
      <c r="A1050" t="s">
        <v>138</v>
      </c>
      <c r="C1050" s="13">
        <v>3.7649468801674725E-2</v>
      </c>
      <c r="D1050" s="26" t="s">
        <v>13</v>
      </c>
      <c r="E1050" t="s">
        <v>83</v>
      </c>
      <c r="F1050" t="s">
        <v>109</v>
      </c>
      <c r="G1050" s="13"/>
      <c r="H1050" t="s">
        <v>15</v>
      </c>
    </row>
    <row r="1051" spans="1:9">
      <c r="A1051" s="31" t="s">
        <v>140</v>
      </c>
      <c r="C1051" s="13">
        <v>1.3022194842719922E-3</v>
      </c>
      <c r="D1051" s="26" t="s">
        <v>13</v>
      </c>
      <c r="E1051" t="s">
        <v>83</v>
      </c>
      <c r="F1051" t="s">
        <v>109</v>
      </c>
      <c r="G1051" s="13"/>
      <c r="H1051" t="s">
        <v>15</v>
      </c>
    </row>
    <row r="1052" spans="1:9">
      <c r="A1052" t="s">
        <v>93</v>
      </c>
      <c r="C1052" s="13">
        <v>2.9173775990772428E-2</v>
      </c>
      <c r="D1052" s="26" t="s">
        <v>91</v>
      </c>
      <c r="E1052" t="s">
        <v>83</v>
      </c>
      <c r="F1052" t="s">
        <v>25</v>
      </c>
      <c r="G1052" s="13"/>
      <c r="H1052" t="s">
        <v>15</v>
      </c>
    </row>
    <row r="1053" spans="1:9">
      <c r="A1053" s="49"/>
      <c r="B1053" s="50"/>
      <c r="C1053" s="49"/>
      <c r="D1053" s="49"/>
      <c r="E1053" s="49"/>
      <c r="F1053" s="49"/>
      <c r="G1053" s="49"/>
      <c r="H1053" s="49"/>
      <c r="I1053" s="49"/>
    </row>
    <row r="1054" spans="1:9" ht="15.75">
      <c r="A1054" s="18" t="s">
        <v>1</v>
      </c>
      <c r="B1054" s="24" t="s">
        <v>499</v>
      </c>
    </row>
    <row r="1055" spans="1:9">
      <c r="A1055" s="24" t="s">
        <v>2</v>
      </c>
      <c r="B1055" s="26" t="s">
        <v>28</v>
      </c>
      <c r="H1055" s="55"/>
    </row>
    <row r="1056" spans="1:9">
      <c r="A1056" s="24" t="s">
        <v>3</v>
      </c>
      <c r="B1056">
        <v>1</v>
      </c>
      <c r="F1056" s="13"/>
      <c r="H1056" s="13"/>
    </row>
    <row r="1057" spans="1:10">
      <c r="A1057" s="24" t="s">
        <v>4</v>
      </c>
      <c r="B1057" s="26" t="s">
        <v>500</v>
      </c>
      <c r="F1057" s="13"/>
      <c r="J1057" s="56"/>
    </row>
    <row r="1058" spans="1:10">
      <c r="A1058" s="24" t="s">
        <v>5</v>
      </c>
      <c r="B1058" t="s">
        <v>59</v>
      </c>
      <c r="F1058" s="20"/>
    </row>
    <row r="1059" spans="1:10">
      <c r="A1059" s="24" t="s">
        <v>6</v>
      </c>
      <c r="B1059" t="s">
        <v>501</v>
      </c>
    </row>
    <row r="1060" spans="1:10">
      <c r="A1060" s="24" t="s">
        <v>57</v>
      </c>
      <c r="B1060" t="s">
        <v>498</v>
      </c>
    </row>
    <row r="1061" spans="1:10" ht="15.75">
      <c r="A1061" s="18" t="s">
        <v>7</v>
      </c>
      <c r="B1061" s="26"/>
      <c r="C1061" s="25"/>
      <c r="D1061" s="26"/>
      <c r="E1061" s="26"/>
      <c r="F1061" s="26"/>
      <c r="G1061" s="26"/>
      <c r="H1061" s="26"/>
      <c r="I1061" s="26"/>
    </row>
    <row r="1062" spans="1:10">
      <c r="A1062" s="24" t="s">
        <v>8</v>
      </c>
      <c r="B1062" s="24" t="s">
        <v>4</v>
      </c>
      <c r="C1062" s="30" t="s">
        <v>9</v>
      </c>
      <c r="D1062" s="24" t="s">
        <v>6</v>
      </c>
      <c r="E1062" s="24" t="s">
        <v>81</v>
      </c>
      <c r="F1062" s="24" t="s">
        <v>10</v>
      </c>
      <c r="G1062" s="24" t="s">
        <v>2</v>
      </c>
      <c r="H1062" s="24" t="s">
        <v>5</v>
      </c>
      <c r="I1062" s="24" t="s">
        <v>11</v>
      </c>
    </row>
    <row r="1063" spans="1:10">
      <c r="A1063" s="26" t="s">
        <v>499</v>
      </c>
      <c r="B1063" s="26" t="s">
        <v>500</v>
      </c>
      <c r="C1063">
        <v>1</v>
      </c>
      <c r="D1063" t="s">
        <v>501</v>
      </c>
      <c r="G1063" t="s">
        <v>28</v>
      </c>
      <c r="H1063" t="s">
        <v>18</v>
      </c>
    </row>
    <row r="1064" spans="1:10">
      <c r="A1064" t="s">
        <v>495</v>
      </c>
      <c r="B1064" s="13" t="s">
        <v>494</v>
      </c>
      <c r="C1064">
        <v>6.1215814640472162E-10</v>
      </c>
      <c r="D1064" t="s">
        <v>6</v>
      </c>
      <c r="G1064" t="s">
        <v>96</v>
      </c>
      <c r="H1064" t="s">
        <v>12</v>
      </c>
    </row>
    <row r="1065" spans="1:10">
      <c r="A1065" t="s">
        <v>497</v>
      </c>
      <c r="B1065" s="13" t="s">
        <v>496</v>
      </c>
      <c r="C1065">
        <v>4.742138768774307E-10</v>
      </c>
      <c r="D1065" t="s">
        <v>6</v>
      </c>
      <c r="G1065" t="s">
        <v>96</v>
      </c>
      <c r="H1065" t="s">
        <v>12</v>
      </c>
    </row>
    <row r="1066" spans="1:10">
      <c r="A1066" t="s">
        <v>491</v>
      </c>
      <c r="B1066" s="13" t="s">
        <v>490</v>
      </c>
      <c r="C1066">
        <v>2.6426999999999999E-2</v>
      </c>
      <c r="D1066" t="s">
        <v>13</v>
      </c>
      <c r="G1066" t="s">
        <v>26</v>
      </c>
      <c r="H1066" t="s">
        <v>12</v>
      </c>
    </row>
    <row r="1067" spans="1:10">
      <c r="A1067" t="s">
        <v>87</v>
      </c>
      <c r="C1067">
        <v>3.0319294841785747E-4</v>
      </c>
      <c r="D1067" t="s">
        <v>13</v>
      </c>
      <c r="E1067" t="s">
        <v>83</v>
      </c>
      <c r="F1067" t="s">
        <v>25</v>
      </c>
      <c r="H1067" t="s">
        <v>15</v>
      </c>
    </row>
    <row r="1068" spans="1:10">
      <c r="A1068" t="s">
        <v>492</v>
      </c>
      <c r="C1068">
        <v>1.0312926008611849E-4</v>
      </c>
      <c r="D1068" t="s">
        <v>13</v>
      </c>
      <c r="E1068" t="s">
        <v>83</v>
      </c>
      <c r="F1068" t="s">
        <v>25</v>
      </c>
      <c r="H1068" t="s">
        <v>15</v>
      </c>
    </row>
    <row r="1069" spans="1:10">
      <c r="A1069" t="s">
        <v>405</v>
      </c>
      <c r="C1069">
        <v>9.6919104678861535E-6</v>
      </c>
      <c r="D1069" t="s">
        <v>13</v>
      </c>
      <c r="E1069" t="s">
        <v>83</v>
      </c>
      <c r="F1069" t="s">
        <v>25</v>
      </c>
      <c r="H1069" t="s">
        <v>15</v>
      </c>
    </row>
    <row r="1070" spans="1:10">
      <c r="A1070" t="s">
        <v>32</v>
      </c>
      <c r="C1070">
        <v>8.3218361203244121E-2</v>
      </c>
      <c r="D1070" t="s">
        <v>13</v>
      </c>
      <c r="E1070" t="s">
        <v>83</v>
      </c>
      <c r="F1070" t="s">
        <v>25</v>
      </c>
      <c r="H1070" t="s">
        <v>15</v>
      </c>
    </row>
    <row r="1071" spans="1:10">
      <c r="A1071" t="s">
        <v>93</v>
      </c>
      <c r="C1071">
        <v>3.2505107742137262E-5</v>
      </c>
      <c r="D1071" t="s">
        <v>91</v>
      </c>
      <c r="E1071" t="s">
        <v>83</v>
      </c>
      <c r="F1071" t="s">
        <v>25</v>
      </c>
      <c r="H1071" t="s">
        <v>15</v>
      </c>
    </row>
    <row r="1072" spans="1:10">
      <c r="A1072" t="s">
        <v>493</v>
      </c>
      <c r="C1072">
        <v>2.219861016536204E-5</v>
      </c>
      <c r="D1072" t="s">
        <v>13</v>
      </c>
      <c r="E1072" t="s">
        <v>83</v>
      </c>
      <c r="F1072" t="s">
        <v>25</v>
      </c>
      <c r="H1072" t="s">
        <v>15</v>
      </c>
    </row>
    <row r="1073" spans="1:10">
      <c r="A1073" s="49"/>
      <c r="B1073" s="50"/>
      <c r="C1073" s="49"/>
      <c r="D1073" s="49"/>
      <c r="E1073" s="49"/>
      <c r="F1073" s="49"/>
      <c r="G1073" s="49"/>
      <c r="H1073" s="49"/>
      <c r="I1073" s="49"/>
    </row>
    <row r="1074" spans="1:10" ht="15.75">
      <c r="A1074" s="18" t="s">
        <v>1</v>
      </c>
      <c r="B1074" s="24" t="s">
        <v>502</v>
      </c>
    </row>
    <row r="1075" spans="1:10">
      <c r="A1075" s="24" t="s">
        <v>2</v>
      </c>
      <c r="B1075" s="26" t="s">
        <v>28</v>
      </c>
      <c r="H1075" s="55"/>
    </row>
    <row r="1076" spans="1:10">
      <c r="A1076" s="24" t="s">
        <v>3</v>
      </c>
      <c r="B1076">
        <v>1</v>
      </c>
      <c r="F1076" s="13"/>
      <c r="H1076" s="13"/>
    </row>
    <row r="1077" spans="1:10">
      <c r="A1077" s="24" t="s">
        <v>4</v>
      </c>
      <c r="B1077" s="26" t="s">
        <v>503</v>
      </c>
      <c r="F1077" s="13"/>
      <c r="J1077" s="56"/>
    </row>
    <row r="1078" spans="1:10">
      <c r="A1078" s="24" t="s">
        <v>5</v>
      </c>
      <c r="B1078" t="s">
        <v>59</v>
      </c>
      <c r="F1078" s="20"/>
    </row>
    <row r="1079" spans="1:10">
      <c r="A1079" s="24" t="s">
        <v>6</v>
      </c>
      <c r="B1079" t="s">
        <v>35</v>
      </c>
    </row>
    <row r="1080" spans="1:10">
      <c r="A1080" s="24" t="s">
        <v>57</v>
      </c>
      <c r="B1080"/>
    </row>
    <row r="1081" spans="1:10" ht="15.75">
      <c r="A1081" s="18" t="s">
        <v>7</v>
      </c>
      <c r="B1081" s="26"/>
      <c r="C1081" s="25"/>
      <c r="D1081" s="26"/>
      <c r="E1081" s="26"/>
      <c r="F1081" s="26"/>
      <c r="G1081" s="26"/>
      <c r="H1081" s="26"/>
      <c r="I1081" s="26"/>
    </row>
    <row r="1082" spans="1:10">
      <c r="A1082" s="24" t="s">
        <v>8</v>
      </c>
      <c r="B1082" s="24" t="s">
        <v>4</v>
      </c>
      <c r="C1082" s="30" t="s">
        <v>9</v>
      </c>
      <c r="D1082" s="24" t="s">
        <v>6</v>
      </c>
      <c r="E1082" s="24" t="s">
        <v>81</v>
      </c>
      <c r="F1082" s="24" t="s">
        <v>10</v>
      </c>
      <c r="G1082" s="24" t="s">
        <v>2</v>
      </c>
      <c r="H1082" s="24" t="s">
        <v>5</v>
      </c>
      <c r="I1082" s="24" t="s">
        <v>11</v>
      </c>
    </row>
    <row r="1083" spans="1:10">
      <c r="A1083" s="26" t="s">
        <v>502</v>
      </c>
      <c r="B1083" s="26" t="s">
        <v>503</v>
      </c>
      <c r="C1083">
        <v>1</v>
      </c>
      <c r="D1083" t="s">
        <v>35</v>
      </c>
      <c r="G1083" t="s">
        <v>28</v>
      </c>
      <c r="H1083" t="s">
        <v>18</v>
      </c>
    </row>
    <row r="1084" spans="1:10">
      <c r="A1084" t="s">
        <v>27</v>
      </c>
      <c r="B1084" s="13" t="s">
        <v>20</v>
      </c>
      <c r="C1084">
        <v>0.27777777777777779</v>
      </c>
      <c r="D1084" t="s">
        <v>19</v>
      </c>
      <c r="G1084" t="s">
        <v>28</v>
      </c>
      <c r="H1084" t="s">
        <v>12</v>
      </c>
    </row>
    <row r="1085" spans="1:10">
      <c r="A1085" s="49"/>
      <c r="B1085" s="50"/>
      <c r="C1085" s="49"/>
      <c r="D1085" s="49"/>
      <c r="E1085" s="49"/>
      <c r="F1085" s="49"/>
      <c r="G1085" s="49"/>
      <c r="H1085" s="49"/>
      <c r="I1085" s="49"/>
    </row>
    <row r="1086" spans="1:10" ht="15.75">
      <c r="A1086" s="18" t="s">
        <v>1</v>
      </c>
      <c r="B1086" s="24" t="s">
        <v>509</v>
      </c>
    </row>
    <row r="1087" spans="1:10">
      <c r="A1087" s="24" t="s">
        <v>2</v>
      </c>
      <c r="B1087" s="26" t="s">
        <v>28</v>
      </c>
      <c r="H1087" s="55"/>
    </row>
    <row r="1088" spans="1:10">
      <c r="A1088" s="24" t="s">
        <v>3</v>
      </c>
      <c r="B1088">
        <v>1</v>
      </c>
      <c r="F1088" s="13"/>
      <c r="H1088" s="13"/>
    </row>
    <row r="1089" spans="1:10">
      <c r="A1089" s="24" t="s">
        <v>4</v>
      </c>
      <c r="B1089" s="26" t="s">
        <v>510</v>
      </c>
      <c r="F1089" s="13"/>
      <c r="J1089" s="56"/>
    </row>
    <row r="1090" spans="1:10">
      <c r="A1090" s="24" t="s">
        <v>5</v>
      </c>
      <c r="B1090" t="s">
        <v>59</v>
      </c>
      <c r="F1090" s="20"/>
    </row>
    <row r="1091" spans="1:10">
      <c r="A1091" s="24" t="s">
        <v>6</v>
      </c>
      <c r="B1091" t="s">
        <v>13</v>
      </c>
    </row>
    <row r="1092" spans="1:10">
      <c r="A1092" s="24" t="s">
        <v>57</v>
      </c>
      <c r="B1092" t="s">
        <v>508</v>
      </c>
    </row>
    <row r="1093" spans="1:10" ht="15.75">
      <c r="A1093" s="18" t="s">
        <v>7</v>
      </c>
      <c r="B1093" s="26"/>
      <c r="C1093" s="25"/>
      <c r="D1093" s="26"/>
      <c r="E1093" s="26"/>
      <c r="F1093" s="26"/>
      <c r="G1093" s="26"/>
      <c r="H1093" s="26"/>
      <c r="I1093" s="26"/>
    </row>
    <row r="1094" spans="1:10">
      <c r="A1094" s="24" t="s">
        <v>8</v>
      </c>
      <c r="B1094" s="24" t="s">
        <v>4</v>
      </c>
      <c r="C1094" s="30" t="s">
        <v>9</v>
      </c>
      <c r="D1094" s="24" t="s">
        <v>6</v>
      </c>
      <c r="E1094" s="24" t="s">
        <v>81</v>
      </c>
      <c r="F1094" s="24" t="s">
        <v>10</v>
      </c>
      <c r="G1094" s="24" t="s">
        <v>2</v>
      </c>
      <c r="H1094" s="24" t="s">
        <v>5</v>
      </c>
      <c r="I1094" s="24" t="s">
        <v>11</v>
      </c>
    </row>
    <row r="1095" spans="1:10">
      <c r="A1095" s="26" t="s">
        <v>509</v>
      </c>
      <c r="B1095" s="26" t="s">
        <v>510</v>
      </c>
      <c r="C1095">
        <v>1</v>
      </c>
      <c r="D1095" t="s">
        <v>13</v>
      </c>
      <c r="G1095" t="s">
        <v>28</v>
      </c>
      <c r="H1095" t="s">
        <v>18</v>
      </c>
    </row>
    <row r="1096" spans="1:10">
      <c r="A1096" t="s">
        <v>34</v>
      </c>
      <c r="B1096" s="13" t="s">
        <v>33</v>
      </c>
      <c r="C1096" s="13">
        <v>8.3599999999999999E-5</v>
      </c>
      <c r="D1096" t="s">
        <v>19</v>
      </c>
      <c r="G1096" t="s">
        <v>28</v>
      </c>
      <c r="H1096" t="s">
        <v>12</v>
      </c>
    </row>
    <row r="1097" spans="1:10">
      <c r="A1097" t="s">
        <v>511</v>
      </c>
      <c r="B1097" s="13" t="s">
        <v>462</v>
      </c>
      <c r="C1097">
        <v>6.25E-2</v>
      </c>
      <c r="D1097" s="13" t="s">
        <v>35</v>
      </c>
      <c r="G1097" t="s">
        <v>134</v>
      </c>
      <c r="H1097" t="s">
        <v>12</v>
      </c>
    </row>
    <row r="1098" spans="1:10">
      <c r="A1098" t="s">
        <v>504</v>
      </c>
      <c r="B1098" s="13" t="s">
        <v>507</v>
      </c>
      <c r="C1098" s="41">
        <v>0.33329999999999999</v>
      </c>
      <c r="D1098" t="s">
        <v>13</v>
      </c>
      <c r="G1098" t="s">
        <v>26</v>
      </c>
      <c r="H1098" t="s">
        <v>12</v>
      </c>
    </row>
    <row r="1099" spans="1:10">
      <c r="A1099" t="s">
        <v>505</v>
      </c>
      <c r="B1099" s="13" t="s">
        <v>507</v>
      </c>
      <c r="C1099" s="41">
        <v>0.33329999999999999</v>
      </c>
      <c r="D1099" t="s">
        <v>13</v>
      </c>
      <c r="G1099" t="s">
        <v>26</v>
      </c>
      <c r="H1099" t="s">
        <v>12</v>
      </c>
    </row>
    <row r="1100" spans="1:10">
      <c r="A1100" t="s">
        <v>506</v>
      </c>
      <c r="B1100" s="13" t="s">
        <v>507</v>
      </c>
      <c r="C1100" s="41">
        <v>0.33329999999999999</v>
      </c>
      <c r="D1100" t="s">
        <v>13</v>
      </c>
      <c r="G1100" t="s">
        <v>26</v>
      </c>
      <c r="H1100" t="s">
        <v>12</v>
      </c>
    </row>
  </sheetData>
  <phoneticPr fontId="14"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lci</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PUIG-SAMPER Gonzalo (ENGIE SA)</cp:lastModifiedBy>
  <dcterms:created xsi:type="dcterms:W3CDTF">2020-12-17T11:52:00Z</dcterms:created>
  <dcterms:modified xsi:type="dcterms:W3CDTF">2025-08-12T11:59:45Z</dcterms:modified>
</cp:coreProperties>
</file>